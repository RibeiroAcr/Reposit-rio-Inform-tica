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A\Desktop\FATEC\Informática\"/>
    </mc:Choice>
  </mc:AlternateContent>
  <xr:revisionPtr revIDLastSave="0" documentId="8_{5E10C3F3-699F-4B12-A54B-8CE41E1F5617}" xr6:coauthVersionLast="43" xr6:coauthVersionMax="43" xr10:uidLastSave="{00000000-0000-0000-0000-000000000000}"/>
  <bookViews>
    <workbookView xWindow="-120" yWindow="-120" windowWidth="20730" windowHeight="11160" activeTab="2" xr2:uid="{00000000-000D-0000-FFFF-FFFF00000000}"/>
  </bookViews>
  <sheets>
    <sheet name="Planilha3" sheetId="4" r:id="rId1"/>
    <sheet name="despesa_funcao" sheetId="1" r:id="rId2"/>
    <sheet name="Planilha1" sheetId="2" r:id="rId3"/>
    <sheet name="Planilha2" sheetId="3" r:id="rId4"/>
  </sheets>
  <definedNames>
    <definedName name="_xlnm._FilterDatabase" localSheetId="1" hidden="1">despesa_funcao!$D$1:$D$404</definedName>
  </definedNames>
  <calcPr calcId="19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9" i="2" l="1"/>
  <c r="D8" i="2"/>
  <c r="D7" i="2"/>
</calcChain>
</file>

<file path=xl/sharedStrings.xml><?xml version="1.0" encoding="utf-8"?>
<sst xmlns="http://schemas.openxmlformats.org/spreadsheetml/2006/main" count="2452" uniqueCount="524">
  <si>
    <t>Ano</t>
  </si>
  <si>
    <t>Mês</t>
  </si>
  <si>
    <t>Classificação orçamentária</t>
  </si>
  <si>
    <t>Secretaria</t>
  </si>
  <si>
    <t>Função</t>
  </si>
  <si>
    <t>Subfunção</t>
  </si>
  <si>
    <t>Natureza da despesa</t>
  </si>
  <si>
    <t>Fonte de recurso</t>
  </si>
  <si>
    <t>Empenhado (R$)</t>
  </si>
  <si>
    <t>Liquidado  (R$)</t>
  </si>
  <si>
    <t>Pago  (R$)</t>
  </si>
  <si>
    <t>05.10.3.1.90.11.04.122.0001.2.002.01.110000</t>
  </si>
  <si>
    <t>Gabinete do Prefeito</t>
  </si>
  <si>
    <t>ADMINISTRAÇÃO</t>
  </si>
  <si>
    <t>ADMINISTRAÇÃO GERAL</t>
  </si>
  <si>
    <t>VENCIMENTOS E VANTAGENS FIXAS -  PESSOAL CIVIL</t>
  </si>
  <si>
    <t>TESOURO</t>
  </si>
  <si>
    <t>10.10.3.1.90.11.04.122.0001.2.002.01.110000</t>
  </si>
  <si>
    <t>Secretaria de Governança</t>
  </si>
  <si>
    <t>10.10.3.3.50.85.04.122.0001.2.050.01.110000</t>
  </si>
  <si>
    <t>CONTRATO DE GESTÃO-</t>
  </si>
  <si>
    <t>10.10.3.3.90.30.04.122.0001.2.002.01.110000</t>
  </si>
  <si>
    <t>MATERIAL DE CONSUMO</t>
  </si>
  <si>
    <t>10.10.3.3.90.36.04.122.0001.2.002.01.110000</t>
  </si>
  <si>
    <t>OUTROS SERVIÇOS DE TERCEIROS - PESSOA FÍSICA</t>
  </si>
  <si>
    <t>10.10.3.3.90.39.04.122.0001.2.002.01.110000</t>
  </si>
  <si>
    <t>OUTROS SERVIÇOS DE TERCEIROS -  PESSOA JURÍDICA</t>
  </si>
  <si>
    <t>10.10.3.3.90.39.04.122.0001.2.003.01.110000</t>
  </si>
  <si>
    <t>10.10.3.3.90.39.04.122.0001.2.050.01.110000</t>
  </si>
  <si>
    <t>10.10.3.3.90.39.27.811.0001.2.004.01.110000</t>
  </si>
  <si>
    <t>DESPORTO E LAZER</t>
  </si>
  <si>
    <t>DESPORTO DE RENDIMENTO</t>
  </si>
  <si>
    <t>10.10.3.3.90.48.27.811.0001.2.004.01.110000</t>
  </si>
  <si>
    <t>OUTROS AUXÍLIOS FINANCEIROS A PESSOA FÍSICA</t>
  </si>
  <si>
    <t>10.10.4.4.90.52.04.122.0001.2.002.01.110000</t>
  </si>
  <si>
    <t>EQUIPAMENTOS E MATERIAL PERMANENTE</t>
  </si>
  <si>
    <t>15.10.3.1.90.11.04.122.0001.2.002.01.110000</t>
  </si>
  <si>
    <t>Secretaria de Apoio Jurídico</t>
  </si>
  <si>
    <t>15.10.3.3.90.30.04.122.0001.2.002.01.110000</t>
  </si>
  <si>
    <t>15.10.3.3.90.30.14.422.0001.2.006.92.100047</t>
  </si>
  <si>
    <t>DIREITOS DA CIDADANIA</t>
  </si>
  <si>
    <t>DIREITOS INDIVIDUAIS, COLETIVOS E DIFUSOS</t>
  </si>
  <si>
    <t>TRANSFERENCIAS E CONVENIOS ESTADUAIS - VINCULADOS - EXERCÍCIO ANTERIOR</t>
  </si>
  <si>
    <t>15.10.3.3.90.36.04.122.0001.2.002.01.110000</t>
  </si>
  <si>
    <t>15.10.3.3.90.36.14.422.0001.2.006.03.100133</t>
  </si>
  <si>
    <t>RECURSOS PROPRIOS DE FUNDOS ESPECIAIS DE DESPESA - VINCULADOS</t>
  </si>
  <si>
    <t>15.10.3.3.90.39.04.122.0001.2.002.01.110000</t>
  </si>
  <si>
    <t>15.10.3.3.90.39.14.422.0001.2.006.03.100133</t>
  </si>
  <si>
    <t>15.10.3.3.90.39.14.422.0001.2.006.92.100047</t>
  </si>
  <si>
    <t>15.10.3.3.90.40.14.422.0001.2.006.01.110000</t>
  </si>
  <si>
    <t>SERVIÇOS DE TECNOLOGIA DA INFORMAÇÃO E COMUNICAÇÃO - PJ</t>
  </si>
  <si>
    <t>15.10.3.3.90.92.04.122.0001.2.002.01.110000</t>
  </si>
  <si>
    <t>DESPESAS DE EXERCÍCIOS ANTERIORES</t>
  </si>
  <si>
    <t>20.10.3.1.90.11.04.122.0001.2.002.01.110000</t>
  </si>
  <si>
    <t>Secretaria de Gestão Administrativa e Finanças</t>
  </si>
  <si>
    <t>20.10.3.3.90.30.04.122.0001.2.002.01.110000</t>
  </si>
  <si>
    <t>20.10.3.3.90.36.04.122.0001.2.002.01.110000</t>
  </si>
  <si>
    <t>20.10.3.3.90.39.04.122.0001.2.002.01.110000</t>
  </si>
  <si>
    <t>20.10.3.3.90.39.04.122.0001.2.051.01.110000</t>
  </si>
  <si>
    <t>20.10.3.3.90.40.04.122.0001.2.051.01.110000</t>
  </si>
  <si>
    <t>20.10.3.3.90.92.04.122.0001.2.002.01.110000</t>
  </si>
  <si>
    <t>20.10.4.4.90.52.04.122.0001.2.051.01.100177</t>
  </si>
  <si>
    <t>30.10.3.1.90.11.15.127.0011.2.002.01.110000</t>
  </si>
  <si>
    <t>Secretaria de Urbanismo e Sustentabilidade</t>
  </si>
  <si>
    <t>URBANISMO</t>
  </si>
  <si>
    <t>ORDENAMENTO TERRITORIAL</t>
  </si>
  <si>
    <t>30.10.3.3.50.39.18.541.0011.2.052.93.100050</t>
  </si>
  <si>
    <t>GESTÃO AMBIENTAL</t>
  </si>
  <si>
    <t>PRESERVAÇÃO E CONSERVAÇÃO AMBIENTAL</t>
  </si>
  <si>
    <t>OUTROS SERVIÇOS DE TERCEIROS -PESSOA JURÍDICA</t>
  </si>
  <si>
    <t>RECURSOS PROPRIOS DE FUNDOS ESPECIAIS DE DESPESA - VINCULADOS - EXERCÍCIO ANTERIOR</t>
  </si>
  <si>
    <t>30.10.3.3.71.70.15.127.0011.2.011.01.100190</t>
  </si>
  <si>
    <t>RATEIO PELA PARTICIPAÇÃO EM CONSÓRCIO PÚBLICO</t>
  </si>
  <si>
    <t>30.10.3.3.90.30.15.127.0011.2.002.01.110000</t>
  </si>
  <si>
    <t>30.10.3.3.90.36.15.127.0011.2.002.01.110000</t>
  </si>
  <si>
    <t>30.10.3.3.90.39.15.127.0011.2.002.01.110000</t>
  </si>
  <si>
    <t>30.10.3.3.90.39.15.127.0011.2.011.01.110000</t>
  </si>
  <si>
    <t>30.10.3.3.90.39.15.127.0011.2.011.03.100134</t>
  </si>
  <si>
    <t>30.10.3.3.90.39.18.541.0011.2.052.03.100050</t>
  </si>
  <si>
    <t>30.10.3.3.90.39.18.541.0011.2.052.03.100068</t>
  </si>
  <si>
    <t>30.10.3.3.90.39.18.541.0011.2.052.05.100100</t>
  </si>
  <si>
    <t>TRANSFERENCIAS E CONVENIOS FEDERAIS - VINCULADOS</t>
  </si>
  <si>
    <t>30.10.3.3.90.39.18.541.0011.2.052.93.100050</t>
  </si>
  <si>
    <t>30.10.3.3.90.39.18.541.0011.2.052.93.100068</t>
  </si>
  <si>
    <t>30.10.3.3.90.39.18.541.0011.2.052.95.100100</t>
  </si>
  <si>
    <t>TRANSFERENCIAS E CONVENIOS FEDERAIS - VINCULADOS - EXERCÍCIO ANTERIOR</t>
  </si>
  <si>
    <t>30.10.3.3.90.39.18.541.0011.2.052.96.100164</t>
  </si>
  <si>
    <t>OUTRAS FONTES DE RECURSOS - EXERCÍCIO ANTERIOR</t>
  </si>
  <si>
    <t>30.10.3.3.90.92.18.541.0011.2.052.95.100100</t>
  </si>
  <si>
    <t>30.10.4.4.90.52.15.127.0011.2.002.01.110000</t>
  </si>
  <si>
    <t>30.10.4.4.90.52.18.541.0011.2.052.03.100050</t>
  </si>
  <si>
    <t>35.10.3.1.90.11.15.451.0002.2.002.01.110000</t>
  </si>
  <si>
    <t>Secretaria de Gestão Habitacional e Obras</t>
  </si>
  <si>
    <t>INFRA-ESTRUTURA URBANA</t>
  </si>
  <si>
    <t>35.10.3.3.90.30.15.451.0002.2.002.01.110000</t>
  </si>
  <si>
    <t>35.10.3.3.90.36.15.451.0002.2.002.01.110000</t>
  </si>
  <si>
    <t>35.10.3.3.90.39.15.451.0002.1.003.03.100058</t>
  </si>
  <si>
    <t>35.10.3.3.90.39.15.451.0002.1.003.05.100090</t>
  </si>
  <si>
    <t>35.10.3.3.90.39.15.451.0002.2.002.01.110000</t>
  </si>
  <si>
    <t>35.10.3.3.90.39.26.451.0002.1.016.01.110000</t>
  </si>
  <si>
    <t>TRANSPORTE</t>
  </si>
  <si>
    <t>35.10.3.3.90.40.15.451.0002.2.002.01.110000</t>
  </si>
  <si>
    <t>35.10.3.3.90.48.15.451.0002.2.002.01.110000</t>
  </si>
  <si>
    <t>35.10.4.4.90.51.15.451.0002.1.003.01.100137</t>
  </si>
  <si>
    <t>OBRAS E INSTALAÇÕES</t>
  </si>
  <si>
    <t>35.10.4.4.90.51.15.451.0002.1.003.01.110000</t>
  </si>
  <si>
    <t>35.10.4.4.90.51.15.451.0002.1.003.01.140000</t>
  </si>
  <si>
    <t>35.10.4.4.90.51.15.451.0002.1.003.05.800191</t>
  </si>
  <si>
    <t>35.10.4.4.90.51.26.451.0002.1.016.01.400000</t>
  </si>
  <si>
    <t>35.10.4.4.90.52.15.451.0002.2.002.01.110000</t>
  </si>
  <si>
    <t>40.10.3.1.90.11.12.122.0003.2.064.01.110000</t>
  </si>
  <si>
    <t>Secretaria de Educação e Cidadania</t>
  </si>
  <si>
    <t>EDUCAÇÃO</t>
  </si>
  <si>
    <t>40.10.3.1.90.11.12.361.0003.2.012.01.220000</t>
  </si>
  <si>
    <t>ENSINO FUNDAMENTAL</t>
  </si>
  <si>
    <t>40.10.3.1.90.13.12.122.0003.2.064.01.110000</t>
  </si>
  <si>
    <t>OBRIGAÇÕES PATRONAIS</t>
  </si>
  <si>
    <t>40.10.3.1.90.13.12.361.0003.2.012.01.220000</t>
  </si>
  <si>
    <t>40.10.3.1.90.13.12.361.0003.2.013.01.220000</t>
  </si>
  <si>
    <t>40.10.3.1.90.13.12.365.0003.2.054.01.213000</t>
  </si>
  <si>
    <t>EDUCAÇÃO INFANTIL</t>
  </si>
  <si>
    <t>40.10.3.1.90.16.12.361.0003.2.012.01.220000</t>
  </si>
  <si>
    <t>OUTRAS DESPESAS VARIÁVEIS - PESSOAL CIVIL</t>
  </si>
  <si>
    <t>40.10.3.1.90.94.12.361.0003.2.012.01.220000</t>
  </si>
  <si>
    <t>INDENIZAÇÕES E RESTITUIÇÕES TRABALHISTAS</t>
  </si>
  <si>
    <t>40.10.3.1.90.94.12.365.0003.2.054.01.213000</t>
  </si>
  <si>
    <t>40.10.3.1.91.13.12.122.0003.2.064.01.110000</t>
  </si>
  <si>
    <t>40.10.3.1.91.13.12.361.0003.2.012.01.220000</t>
  </si>
  <si>
    <t>40.10.3.1.91.13.12.365.0003.2.054.01.212000</t>
  </si>
  <si>
    <t>40.10.3.1.91.13.12.365.0003.2.054.01.213000</t>
  </si>
  <si>
    <t>40.10.3.3.50.39.12.361.0003.2.013.01.220000</t>
  </si>
  <si>
    <t>40.10.3.3.50.39.12.367.0003.2.017.01.240000</t>
  </si>
  <si>
    <t>EDUCAÇÃO ESPECIAL</t>
  </si>
  <si>
    <t>40.10.3.3.50.43.12.365.0003.2.028.01.210000</t>
  </si>
  <si>
    <t>SUBVENÇÕES SOCIAIS</t>
  </si>
  <si>
    <t>40.10.3.3.90.08.12.122.0003.2.064.01.110000</t>
  </si>
  <si>
    <t>OUTROS BENEFÍCIOS ASSISTENCIAIS DO SERVIDOR E DO MILITAR</t>
  </si>
  <si>
    <t>40.10.3.3.90.08.12.361.0003.2.012.01.220000</t>
  </si>
  <si>
    <t>40.10.3.3.90.08.12.361.0003.2.013.01.220000</t>
  </si>
  <si>
    <t>40.10.3.3.90.08.12.365.0003.2.054.01.212000</t>
  </si>
  <si>
    <t>40.10.3.3.90.08.12.365.0003.2.054.01.213000</t>
  </si>
  <si>
    <t>40.10.3.3.90.08.12.367.0003.2.017.01.240000</t>
  </si>
  <si>
    <t>40.10.3.3.90.14.12.361.0003.2.012.01.220000</t>
  </si>
  <si>
    <t>DIÁRIAS - PESSOAL CIVIL</t>
  </si>
  <si>
    <t>40.10.3.3.90.30.12.306.0003.2.025.05.280032</t>
  </si>
  <si>
    <t>ALIMENTAÇÃO E NUTRIÇÃO</t>
  </si>
  <si>
    <t>40.10.3.3.90.30.12.306.0003.2.025.05.281032</t>
  </si>
  <si>
    <t>40.10.3.3.90.30.12.306.0003.2.025.05.282032</t>
  </si>
  <si>
    <t>40.10.3.3.90.30.12.306.0003.2.025.05.284011</t>
  </si>
  <si>
    <t>40.10.3.3.90.30.12.306.0003.2.025.05.285011</t>
  </si>
  <si>
    <t>40.10.3.3.90.30.12.306.0003.2.025.95.284011</t>
  </si>
  <si>
    <t>40.10.3.3.90.30.12.361.0003.2.012.01.220000</t>
  </si>
  <si>
    <t>40.10.3.3.90.30.12.361.0003.2.013.01.220000</t>
  </si>
  <si>
    <t>40.10.3.3.90.30.12.361.0003.2.013.05.282032</t>
  </si>
  <si>
    <t>40.10.3.3.90.30.12.365.0003.2.054.01.212000</t>
  </si>
  <si>
    <t>40.10.3.3.90.30.12.365.0003.2.054.01.213000</t>
  </si>
  <si>
    <t>40.10.3.3.90.30.12.365.0003.2.054.05.280032</t>
  </si>
  <si>
    <t>40.10.3.3.90.30.12.365.0003.2.054.05.281032</t>
  </si>
  <si>
    <t>40.10.3.3.90.30.12.367.0003.2.017.01.240000</t>
  </si>
  <si>
    <t>40.10.3.3.90.36.12.361.0003.2.012.01.220000</t>
  </si>
  <si>
    <t>40.10.3.3.90.36.12.361.0003.2.013.01.220000</t>
  </si>
  <si>
    <t>40.10.3.3.90.36.12.361.0003.2.026.01.220000</t>
  </si>
  <si>
    <t>40.10.3.3.90.36.12.361.0003.2.026.02.220013</t>
  </si>
  <si>
    <t>TRANSFERENCIAS E CONVENIOS ESTADUAIS - VINCULADOS</t>
  </si>
  <si>
    <t>40.10.3.3.90.36.12.365.0003.2.054.01.212000</t>
  </si>
  <si>
    <t>40.10.3.3.90.36.12.365.0003.2.054.01.213000</t>
  </si>
  <si>
    <t>40.10.3.3.90.37.12.361.0003.2.012.01.220000</t>
  </si>
  <si>
    <t>LOCAÇÃO DE MÃO-DE-OBRA</t>
  </si>
  <si>
    <t>40.10.3.3.90.37.12.361.0003.2.013.01.220000</t>
  </si>
  <si>
    <t>40.10.3.3.90.37.12.365.0003.2.054.01.212000</t>
  </si>
  <si>
    <t>40.10.3.3.90.37.12.365.0003.2.054.01.213000</t>
  </si>
  <si>
    <t>40.10.3.3.90.39.04.122.0003.2.024.01.220000</t>
  </si>
  <si>
    <t>40.10.3.3.90.39.04.122.0003.2.053.01.220103</t>
  </si>
  <si>
    <t>40.10.3.3.90.39.12.122.0003.2.064.01.110000</t>
  </si>
  <si>
    <t>40.10.3.3.90.39.12.306.0003.2.025.05.280032</t>
  </si>
  <si>
    <t>40.10.3.3.90.39.12.306.0003.2.025.05.281032</t>
  </si>
  <si>
    <t>40.10.3.3.90.39.12.306.0003.2.025.05.282032</t>
  </si>
  <si>
    <t>40.10.3.3.90.39.12.361.0003.2.007.01.220000</t>
  </si>
  <si>
    <t>40.10.3.3.90.39.12.361.0003.2.012.01.220000</t>
  </si>
  <si>
    <t>40.10.3.3.90.39.12.361.0003.2.013.01.220000</t>
  </si>
  <si>
    <t>40.10.3.3.90.39.12.361.0003.2.013.05.282032</t>
  </si>
  <si>
    <t>40.10.3.3.90.39.12.361.0003.2.026.01.220000</t>
  </si>
  <si>
    <t>40.10.3.3.90.39.12.361.0003.2.026.02.220013</t>
  </si>
  <si>
    <t>40.10.3.3.90.39.12.365.0003.2.054.01.212000</t>
  </si>
  <si>
    <t>40.10.3.3.90.39.12.365.0003.2.054.01.213000</t>
  </si>
  <si>
    <t>40.10.3.3.90.40.12.361.0003.2.012.01.220000</t>
  </si>
  <si>
    <t>40.10.3.3.90.46.12.122.0003.2.064.01.110000</t>
  </si>
  <si>
    <t>AUXÍLIO ALIMENTAÇÃO</t>
  </si>
  <si>
    <t>40.10.3.3.90.46.12.361.0003.2.012.01.220000</t>
  </si>
  <si>
    <t>40.10.3.3.90.46.12.361.0003.2.013.01.220000</t>
  </si>
  <si>
    <t>40.10.3.3.90.46.12.365.0003.2.054.01.212000</t>
  </si>
  <si>
    <t>40.10.3.3.90.46.12.365.0003.2.054.01.213000</t>
  </si>
  <si>
    <t>40.10.3.3.90.46.12.367.0003.2.017.01.240000</t>
  </si>
  <si>
    <t>40.10.3.3.90.92.12.361.0003.2.007.01.220000</t>
  </si>
  <si>
    <t>40.10.3.3.90.92.12.361.0003.2.013.01.220000</t>
  </si>
  <si>
    <t>40.10.3.3.90.92.12.365.0003.2.054.01.213000</t>
  </si>
  <si>
    <t>40.10.3.3.90.93.12.361.0003.2.012.05.282032</t>
  </si>
  <si>
    <t>INDENIZAÇÕES E RESTITUIÇÕES</t>
  </si>
  <si>
    <t>40.10.3.3.91.39.12.361.0003.2.013.01.220000</t>
  </si>
  <si>
    <t>OUTROS SERVIÇOS DE TERCEIROS -  PESSOA JURÍDICA - INTRA-ORÇAMENTÁRIO</t>
  </si>
  <si>
    <t>40.10.4.4.90.51.12.361.0003.1.015.01.220000</t>
  </si>
  <si>
    <t>40.10.4.4.90.51.12.361.0003.1.015.05.282032</t>
  </si>
  <si>
    <t>40.10.4.4.90.51.12.361.0003.1.015.05.296200</t>
  </si>
  <si>
    <t>40.10.4.4.90.51.12.365.0003.1.014.01.212000</t>
  </si>
  <si>
    <t>40.10.4.4.90.51.12.365.0003.1.014.01.213000</t>
  </si>
  <si>
    <t>40.10.4.4.90.52.12.306.0003.2.025.05.282032</t>
  </si>
  <si>
    <t>40.10.4.4.90.52.12.306.0003.2.025.95.281032</t>
  </si>
  <si>
    <t>40.10.4.4.90.52.12.361.0003.2.013.01.220000</t>
  </si>
  <si>
    <t>40.10.4.4.90.52.12.365.0003.2.054.01.212000</t>
  </si>
  <si>
    <t>40.10.4.4.90.52.12.365.0003.2.054.01.213000</t>
  </si>
  <si>
    <t>40.10.4.4.90.52.13.392.0003.2.057.01.220108</t>
  </si>
  <si>
    <t>CULTURA</t>
  </si>
  <si>
    <t>DIFUSÃO CULTURAL</t>
  </si>
  <si>
    <t>40.20.3.1.90.04.12.361.0003.2.021.02.261000</t>
  </si>
  <si>
    <t>CONTRATAÇÃO POR TEMPO DETERMINADO</t>
  </si>
  <si>
    <t>40.20.3.1.90.04.12.365.0003.2.022.02.272000</t>
  </si>
  <si>
    <t>40.20.3.1.90.04.12.365.0003.2.023.02.271000</t>
  </si>
  <si>
    <t>40.20.3.1.90.04.12.367.0003.2.061.02.261000</t>
  </si>
  <si>
    <t>40.20.3.1.90.11.12.361.0003.2.021.02.261000</t>
  </si>
  <si>
    <t>40.20.3.1.90.11.12.365.0003.2.022.02.272000</t>
  </si>
  <si>
    <t>40.20.3.1.90.11.12.365.0003.2.023.02.271000</t>
  </si>
  <si>
    <t>40.20.3.1.90.11.12.367.0003.2.061.02.261000</t>
  </si>
  <si>
    <t>40.20.3.1.90.13.12.361.0003.2.021.02.261000</t>
  </si>
  <si>
    <t>40.20.3.1.90.13.12.365.0003.2.022.02.272000</t>
  </si>
  <si>
    <t>40.20.3.1.90.13.12.365.0003.2.023.02.271000</t>
  </si>
  <si>
    <t>40.20.3.1.90.13.12.367.0003.2.061.02.261000</t>
  </si>
  <si>
    <t>40.20.3.1.90.16.12.361.0003.2.021.02.261000</t>
  </si>
  <si>
    <t>40.20.3.1.90.16.12.365.0003.2.022.02.272000</t>
  </si>
  <si>
    <t>40.20.3.1.90.16.12.365.0003.2.023.02.271000</t>
  </si>
  <si>
    <t>40.20.3.1.90.16.12.367.0003.2.061.02.261000</t>
  </si>
  <si>
    <t>40.20.3.1.90.94.12.361.0003.2.021.02.261000</t>
  </si>
  <si>
    <t>40.20.3.1.90.94.12.365.0003.2.022.02.272000</t>
  </si>
  <si>
    <t>40.20.3.1.91.13.12.361.0003.2.021.02.261000</t>
  </si>
  <si>
    <t>40.20.3.1.91.13.12.365.0003.2.022.02.272000</t>
  </si>
  <si>
    <t>40.20.3.1.91.13.12.365.0003.2.023.02.271000</t>
  </si>
  <si>
    <t>40.20.3.1.91.13.12.367.0003.2.061.02.261000</t>
  </si>
  <si>
    <t>40.20.3.3.50.39.12.367.0003.2.061.02.262000</t>
  </si>
  <si>
    <t>40.20.3.3.90.30.12.361.0003.2.021.02.262000</t>
  </si>
  <si>
    <t>40.20.3.3.90.30.12.365.0003.2.022.02.274000</t>
  </si>
  <si>
    <t>40.20.3.3.90.39.12.361.0003.2.021.02.262000</t>
  </si>
  <si>
    <t>40.20.3.3.90.40.12.361.0003.2.021.02.262000</t>
  </si>
  <si>
    <t>40.20.3.3.90.92.12.361.0003.2.021.02.262000</t>
  </si>
  <si>
    <t>40.20.4.4.90.51.12.361.0003.1.015.02.262000</t>
  </si>
  <si>
    <t>40.20.4.4.90.51.12.365.0003.1.014.02.273000</t>
  </si>
  <si>
    <t>40.20.4.4.90.51.12.365.0003.1.014.02.274000</t>
  </si>
  <si>
    <t>40.20.4.4.90.52.12.365.0003.2.022.02.274000</t>
  </si>
  <si>
    <t>45.10.3.1.90.11.27.812.0004.2.002.01.110000</t>
  </si>
  <si>
    <t>Secretaria de Esporte e Qualidade de Vida</t>
  </si>
  <si>
    <t>DESPORTO COMUNITÁRIO</t>
  </si>
  <si>
    <t>45.10.3.3.50.39.27.812.0004.2.029.01.110000</t>
  </si>
  <si>
    <t>45.10.3.3.50.85.27.812.0004.2.029.91.110000</t>
  </si>
  <si>
    <t>TESOURO - EXERCÍCIO ANTERIOR</t>
  </si>
  <si>
    <t>45.10.3.3.90.30.27.812.0004.2.002.01.110000</t>
  </si>
  <si>
    <t>45.10.3.3.90.30.27.812.0004.2.029.01.110000</t>
  </si>
  <si>
    <t>45.10.3.3.90.30.27.812.0004.2.063.01.110000</t>
  </si>
  <si>
    <t>45.10.3.3.90.34.27.812.0004.2.002.01.110000</t>
  </si>
  <si>
    <t>OUTRAS DESPESAS DE PESSOAL DECORRENTES DE CONTRATOS DE TERCEIRIZAÇÃO</t>
  </si>
  <si>
    <t>45.10.3.3.90.36.27.812.0004.2.002.01.110000</t>
  </si>
  <si>
    <t>45.10.3.3.90.36.27.812.0004.2.029.01.110000</t>
  </si>
  <si>
    <t>45.10.3.3.90.39.27.812.0004.2.002.01.110000</t>
  </si>
  <si>
    <t>45.10.3.3.90.39.27.812.0004.2.029.01.110000</t>
  </si>
  <si>
    <t>45.10.3.3.90.39.27.812.0004.2.029.03.100195</t>
  </si>
  <si>
    <t>45.10.3.3.90.39.27.812.0004.2.063.01.110000</t>
  </si>
  <si>
    <t>45.10.3.3.90.48.27.812.0004.2.029.03.100195</t>
  </si>
  <si>
    <t>45.10.3.3.90.48.27.812.0004.2.063.01.110000</t>
  </si>
  <si>
    <t>45.10.3.3.90.92.27.812.0004.2.002.01.110000</t>
  </si>
  <si>
    <t>45.10.3.3.90.92.27.812.0004.2.063.01.110000</t>
  </si>
  <si>
    <t>45.10.4.4.90.51.27.812.0004.2.029.01.110000</t>
  </si>
  <si>
    <t>45.10.4.4.90.51.27.812.0004.2.029.05.800136</t>
  </si>
  <si>
    <t>45.10.4.4.90.52.27.812.0004.2.002.01.110000</t>
  </si>
  <si>
    <t>45.10.4.4.90.52.27.812.0004.2.063.01.110000</t>
  </si>
  <si>
    <t>50.10.3.1.90.11.08.244.0005.2.002.01.510000</t>
  </si>
  <si>
    <t>Secretaria de Apoio Social ao Cidadão</t>
  </si>
  <si>
    <t>ASSISTÊNCIA SOCIAL</t>
  </si>
  <si>
    <t>ASSISTÊNCIA COMUNITÁRIA</t>
  </si>
  <si>
    <t>50.10.3.3.50.39.08.244.0005.2.031.01.510000</t>
  </si>
  <si>
    <t>50.10.3.3.50.43.08.244.0005.2.031.01.510000</t>
  </si>
  <si>
    <t>50.10.3.3.50.43.08.244.0005.2.031.02.500041</t>
  </si>
  <si>
    <t>50.10.3.3.50.43.08.244.0005.2.031.03.500193</t>
  </si>
  <si>
    <t>50.10.3.3.50.43.08.244.0005.2.031.05.500042</t>
  </si>
  <si>
    <t>50.10.3.3.90.14.08.244.0005.2.002.01.510000</t>
  </si>
  <si>
    <t>50.10.3.3.90.30.08.244.0005.2.002.01.510000</t>
  </si>
  <si>
    <t>50.10.3.3.90.30.08.244.0005.2.031.05.500042</t>
  </si>
  <si>
    <t>50.10.3.3.90.32.08.244.0005.2.031.01.510000</t>
  </si>
  <si>
    <t>MATERIAL, BEM OU SERVIÇO PARA DISTRIBUIÇÃO GRATUITA</t>
  </si>
  <si>
    <t>50.10.3.3.90.36.08.244.0005.2.002.01.510000</t>
  </si>
  <si>
    <t>50.10.3.3.90.36.08.244.0005.2.031.01.510000</t>
  </si>
  <si>
    <t>50.10.3.3.90.36.08.244.0005.2.031.02.500041</t>
  </si>
  <si>
    <t>50.10.3.3.90.36.08.244.0005.2.031.05.500042</t>
  </si>
  <si>
    <t>50.10.3.3.90.39.08.244.0005.2.002.01.510000</t>
  </si>
  <si>
    <t>50.10.3.3.90.39.08.244.0005.2.030.01.510000</t>
  </si>
  <si>
    <t>50.10.3.3.90.39.08.244.0005.2.031.01.510000</t>
  </si>
  <si>
    <t>50.10.3.3.90.39.08.244.0005.2.031.02.500041</t>
  </si>
  <si>
    <t>50.10.3.3.90.39.08.244.0005.2.031.05.500042</t>
  </si>
  <si>
    <t>50.10.3.3.90.39.08.244.0005.2.031.92.500041</t>
  </si>
  <si>
    <t>50.10.3.3.90.39.08.244.0005.2.031.93.500193</t>
  </si>
  <si>
    <t>50.10.3.3.90.48.08.244.0005.2.030.01.510000</t>
  </si>
  <si>
    <t>50.10.3.3.90.48.08.244.0005.2.031.01.500194</t>
  </si>
  <si>
    <t>50.10.3.3.90.48.08.244.0005.2.031.01.510000</t>
  </si>
  <si>
    <t>50.10.3.3.90.48.08.244.0005.2.031.92.500041</t>
  </si>
  <si>
    <t>50.10.3.3.90.92.08.244.0005.2.031.05.500042</t>
  </si>
  <si>
    <t>50.10.3.3.90.93.08.244.0005.2.002.01.510000</t>
  </si>
  <si>
    <t>50.10.3.3.90.93.08.244.0005.2.031.05.500042</t>
  </si>
  <si>
    <t>50.10.3.3.90.93.08.244.0005.2.031.95.500042</t>
  </si>
  <si>
    <t>50.10.4.4.50.42.08.244.0005.2.002.93.500072</t>
  </si>
  <si>
    <t>AUXÍLIOS</t>
  </si>
  <si>
    <t>50.10.4.4.90.52.08.244.0005.2.002.01.510000</t>
  </si>
  <si>
    <t>50.10.4.4.90.52.08.244.0005.2.031.05.500042</t>
  </si>
  <si>
    <t>55.10.3.1.90.11.04.452.0008.2.002.01.110000</t>
  </si>
  <si>
    <t>Secretaria de Manutenção da Cidade</t>
  </si>
  <si>
    <t>SERVIÇOS URBANOS</t>
  </si>
  <si>
    <t>55.10.3.3.90.30.04.452.0008.2.002.01.110000</t>
  </si>
  <si>
    <t>55.10.3.3.90.30.15.451.0008.2.043.03.100081</t>
  </si>
  <si>
    <t>55.10.3.3.90.30.15.452.0008.2.044.01.110000</t>
  </si>
  <si>
    <t>55.10.3.3.90.36.15.452.0008.2.044.01.110000</t>
  </si>
  <si>
    <t>55.10.3.3.90.39.04.452.0008.2.002.01.110000</t>
  </si>
  <si>
    <t>55.10.3.3.90.39.15.451.0008.2.043.03.100081</t>
  </si>
  <si>
    <t>55.10.3.3.90.39.15.452.0008.2.044.01.110000</t>
  </si>
  <si>
    <t>55.10.3.3.90.39.17.512.0008.2.045.01.110000</t>
  </si>
  <si>
    <t>SANEAMENTO</t>
  </si>
  <si>
    <t>SANEAMENTO BÁSICO URBANO</t>
  </si>
  <si>
    <t>55.10.3.3.90.92.15.452.0008.2.044.01.110000</t>
  </si>
  <si>
    <t>55.10.3.3.90.93.15.452.0008.2.044.01.110000</t>
  </si>
  <si>
    <t>55.10.4.4.90.51.15.451.0008.2.043.03.100081</t>
  </si>
  <si>
    <t>55.10.4.4.90.52.04.452.0008.2.002.01.110000</t>
  </si>
  <si>
    <t>55.10.4.4.90.52.15.451.0008.2.043.03.100081</t>
  </si>
  <si>
    <t>60.10.3.1.90.11.10.301.0006.2.002.01.301000</t>
  </si>
  <si>
    <t>Secretaria de Saúde</t>
  </si>
  <si>
    <t>SAÚDE</t>
  </si>
  <si>
    <t>ATENÇÃO BÁSICA</t>
  </si>
  <si>
    <t>60.10.3.1.90.13.10.301.0006.2.002.01.301000</t>
  </si>
  <si>
    <t>60.10.3.1.90.16.10.301.0006.2.002.01.301000</t>
  </si>
  <si>
    <t>60.10.3.1.90.94.10.301.0006.2.002.01.301000</t>
  </si>
  <si>
    <t>60.10.3.1.90.96.10.301.0006.2.002.01.110000</t>
  </si>
  <si>
    <t>RESSARCIMENTO DE DESPESAS DE PESSOAL REQUISITADO</t>
  </si>
  <si>
    <t>60.10.3.1.91.13.10.301.0006.2.002.01.301000</t>
  </si>
  <si>
    <t>60.10.3.3.90.08.10.301.0006.2.002.01.301000</t>
  </si>
  <si>
    <t>60.10.3.3.90.14.10.301.0006.2.002.01.301000</t>
  </si>
  <si>
    <t>60.10.3.3.90.30.10.301.0006.2.002.01.301000</t>
  </si>
  <si>
    <t>60.10.3.3.90.36.10.301.0006.2.002.01.301000</t>
  </si>
  <si>
    <t>60.10.3.3.90.36.10.301.0006.2.051.01.301000</t>
  </si>
  <si>
    <t>60.10.3.3.90.37.10.301.0006.2.051.01.301000</t>
  </si>
  <si>
    <t>60.10.3.3.90.37.10.301.0006.2.051.01.312167</t>
  </si>
  <si>
    <t>60.10.3.3.90.39.10.301.0006.2.002.01.301000</t>
  </si>
  <si>
    <t>60.10.3.3.90.39.10.301.0006.2.007.01.301000</t>
  </si>
  <si>
    <t>60.10.3.3.90.39.10.301.0006.2.051.01.301000</t>
  </si>
  <si>
    <t>60.10.3.3.90.39.10.301.0006.2.051.01.312167</t>
  </si>
  <si>
    <t>60.10.3.3.90.46.10.301.0006.2.002.01.301000</t>
  </si>
  <si>
    <t>60.10.3.3.90.92.10.301.0006.2.002.01.301000</t>
  </si>
  <si>
    <t>60.10.4.4.90.52.10.122.0006.2.062.06.340000</t>
  </si>
  <si>
    <t>OUTRAS FONTES DE RECURSOS</t>
  </si>
  <si>
    <t>60.10.4.4.90.52.10.301.0006.1.010.05.800055</t>
  </si>
  <si>
    <t>60.30.3.3.50.39.10.302.0006.2.033.01.302000</t>
  </si>
  <si>
    <t>ASSISTÊNCIA HOSPITALAR E AMBULATORIAL</t>
  </si>
  <si>
    <t>60.30.3.3.50.39.10.302.0006.2.033.01.312167</t>
  </si>
  <si>
    <t>60.30.3.3.50.39.10.302.0006.2.033.02.302024</t>
  </si>
  <si>
    <t>60.30.3.3.50.39.10.302.0006.2.033.05.302023</t>
  </si>
  <si>
    <t>60.30.3.3.50.39.10.302.0006.2.033.05.312161</t>
  </si>
  <si>
    <t>60.30.3.3.50.39.10.302.0006.2.033.95.312161</t>
  </si>
  <si>
    <t>60.30.3.3.71.70.10.302.0006.2.032.01.302000</t>
  </si>
  <si>
    <t>60.30.3.3.71.70.10.302.0006.2.032.05.302023</t>
  </si>
  <si>
    <t>60.30.4.4.50.42.10.302.0006.2.033.01.302000</t>
  </si>
  <si>
    <t>60.30.4.4.50.42.10.302.0006.2.033.96.340000</t>
  </si>
  <si>
    <t>60.50.3.1.90.04.10.301.0006.2.034.05.301022</t>
  </si>
  <si>
    <t>60.50.3.1.90.04.10.305.0006.2.038.05.303038</t>
  </si>
  <si>
    <t>VIGILÂNCIA EPIDEMIOLÓGICA</t>
  </si>
  <si>
    <t>60.50.3.3.90.30.04.304.0006.2.055.01.303000</t>
  </si>
  <si>
    <t>VIGILÂNCIA SANITÁRIA</t>
  </si>
  <si>
    <t>60.50.3.3.90.30.10.301.0006.2.034.01.301000</t>
  </si>
  <si>
    <t>60.50.3.3.90.30.10.301.0006.2.034.02.301024</t>
  </si>
  <si>
    <t>60.50.3.3.90.30.10.301.0006.2.034.05.301022</t>
  </si>
  <si>
    <t>60.50.3.3.90.30.10.301.0006.2.034.05.305053</t>
  </si>
  <si>
    <t>60.50.3.3.90.30.10.301.0006.2.034.06.312162</t>
  </si>
  <si>
    <t>60.50.3.3.90.30.10.301.0006.2.034.96.312162</t>
  </si>
  <si>
    <t>60.50.3.3.90.30.10.303.0006.2.036.01.304000</t>
  </si>
  <si>
    <t>SUPORTE PROFILÁTICO E TERAPÊUTICO</t>
  </si>
  <si>
    <t>60.50.3.3.90.30.10.303.0006.2.036.05.304040</t>
  </si>
  <si>
    <t>60.50.3.3.90.30.10.303.0006.2.036.05.312161</t>
  </si>
  <si>
    <t>60.50.3.3.90.30.10.304.0006.2.037.06.320000</t>
  </si>
  <si>
    <t>60.50.3.3.90.30.10.305.0006.2.038.01.303000</t>
  </si>
  <si>
    <t>60.50.3.3.90.30.10.305.0006.2.038.05.303019</t>
  </si>
  <si>
    <t>60.50.3.3.90.30.10.305.0006.2.038.05.303038</t>
  </si>
  <si>
    <t>60.50.3.3.90.32.10.301.0006.2.034.05.301022</t>
  </si>
  <si>
    <t>60.50.3.3.90.32.10.301.0006.2.034.95.301022</t>
  </si>
  <si>
    <t>60.50.3.3.90.32.10.303.0006.2.036.01.304000</t>
  </si>
  <si>
    <t>60.50.3.3.90.36.10.301.0006.2.034.01.301000</t>
  </si>
  <si>
    <t>60.50.3.3.90.36.10.304.0006.2.037.06.320000</t>
  </si>
  <si>
    <t>60.50.3.3.90.36.10.305.0006.2.038.05.303038</t>
  </si>
  <si>
    <t>60.50.3.3.90.37.10.301.0006.2.034.01.301000</t>
  </si>
  <si>
    <t>60.50.3.3.90.37.10.301.0006.2.034.05.301022</t>
  </si>
  <si>
    <t>60.50.3.3.90.37.10.301.0006.2.034.92.312161</t>
  </si>
  <si>
    <t>60.50.3.3.90.39.04.304.0006.2.055.01.303000</t>
  </si>
  <si>
    <t>60.50.3.3.90.39.04.304.0006.2.060.01.303000</t>
  </si>
  <si>
    <t>60.50.3.3.90.39.10.301.0006.2.034.01.301000</t>
  </si>
  <si>
    <t>60.50.3.3.90.39.10.301.0006.2.034.05.301022</t>
  </si>
  <si>
    <t>60.50.3.3.90.39.10.301.0006.2.034.05.305053</t>
  </si>
  <si>
    <t>60.50.3.3.90.39.10.301.0006.2.034.95.312161</t>
  </si>
  <si>
    <t>60.50.3.3.90.39.10.304.0006.2.037.06.320000</t>
  </si>
  <si>
    <t>60.50.3.3.90.39.10.304.0006.2.037.96.320000</t>
  </si>
  <si>
    <t>60.50.3.3.90.39.10.305.0006.2.038.01.303000</t>
  </si>
  <si>
    <t>60.50.3.3.90.39.10.305.0006.2.038.05.303019</t>
  </si>
  <si>
    <t>60.50.3.3.90.39.10.305.0006.2.038.05.303038</t>
  </si>
  <si>
    <t>60.50.3.3.90.39.10.305.0006.2.038.06.320000</t>
  </si>
  <si>
    <t>60.50.3.3.90.40.10.301.0006.2.034.05.301022</t>
  </si>
  <si>
    <t>60.50.3.3.90.48.10.301.0006.2.034.01.301000</t>
  </si>
  <si>
    <t>60.50.4.4.90.52.04.304.0006.2.055.01.303000</t>
  </si>
  <si>
    <t>60.50.4.4.90.52.10.304.0006.2.037.06.320000</t>
  </si>
  <si>
    <t>60.70.3.3.50.39.10.302.0006.2.059.01.302000</t>
  </si>
  <si>
    <t>60.70.3.3.50.39.10.302.0006.2.059.01.312167</t>
  </si>
  <si>
    <t>60.70.3.3.50.39.10.302.0006.2.059.05.302023</t>
  </si>
  <si>
    <t>60.70.3.3.90.30.10.302.0006.2.035.01.302000</t>
  </si>
  <si>
    <t>60.70.3.3.90.30.10.302.0006.2.035.01.312167</t>
  </si>
  <si>
    <t>60.70.3.3.90.30.10.302.0006.2.035.05.302023</t>
  </si>
  <si>
    <t>60.70.3.3.90.32.10.302.0006.2.035.01.302000</t>
  </si>
  <si>
    <t>60.70.3.3.90.32.10.302.0006.2.035.05.302023</t>
  </si>
  <si>
    <t>60.70.3.3.90.37.10.302.0006.2.035.05.302023</t>
  </si>
  <si>
    <t>60.70.3.3.90.39.10.302.0006.2.035.01.302000</t>
  </si>
  <si>
    <t>60.70.3.3.90.39.10.302.0006.2.035.05.302023</t>
  </si>
  <si>
    <t>60.70.3.3.90.39.10.302.0006.2.035.95.302023</t>
  </si>
  <si>
    <t>60.70.3.3.90.40.10.302.0006.2.035.01.302000</t>
  </si>
  <si>
    <t>60.70.3.3.90.48.10.302.0006.2.035.05.302023</t>
  </si>
  <si>
    <t>60.70.4.4.90.52.10.302.0006.2.035.01.302000</t>
  </si>
  <si>
    <t>60.70.4.4.90.52.10.302.0006.2.035.92.301024</t>
  </si>
  <si>
    <t>65.10.3.1.90.11.26.122.0009.2.002.01.400000</t>
  </si>
  <si>
    <t>Secretaria de Mobilidade Urbana</t>
  </si>
  <si>
    <t>65.10.3.3.90.30.26.122.0009.2.002.01.400000</t>
  </si>
  <si>
    <t>65.10.3.3.90.36.26.122.0009.2.002.01.400000</t>
  </si>
  <si>
    <t>65.10.3.3.90.39.26.122.0009.2.002.01.400000</t>
  </si>
  <si>
    <t>65.10.3.3.90.39.26.451.0009.1.016.01.400000</t>
  </si>
  <si>
    <t>65.10.3.3.90.39.26.451.0009.1.016.93.400075</t>
  </si>
  <si>
    <t>65.10.3.3.90.93.26.122.0009.2.002.01.400000</t>
  </si>
  <si>
    <t>65.10.4.4.90.51.26.451.0009.1.012.01.400000</t>
  </si>
  <si>
    <t>65.10.4.4.90.51.26.451.0009.1.012.05.800142</t>
  </si>
  <si>
    <t>65.10.4.4.90.51.26.451.0009.1.012.06.400151</t>
  </si>
  <si>
    <t>65.10.4.4.90.61.26.451.0009.1.012.01.400000</t>
  </si>
  <si>
    <t>AQUISIÇÃO DE IMÓVEIS</t>
  </si>
  <si>
    <t>65.10.4.4.90.92.26.451.0009.1.016.01.400000</t>
  </si>
  <si>
    <t>65.20.3.3.20.41.26.122.0009.2.048.03.470000</t>
  </si>
  <si>
    <t>CONTRIBUIÇÕES</t>
  </si>
  <si>
    <t>65.20.3.3.90.30.26.122.0009.2.048.03.400075</t>
  </si>
  <si>
    <t>65.20.3.3.90.39.26.122.0009.2.048.01.400000</t>
  </si>
  <si>
    <t>65.20.3.3.90.39.26.122.0009.2.048.03.400075</t>
  </si>
  <si>
    <t>65.20.3.3.90.39.26.122.0009.2.048.03.400076</t>
  </si>
  <si>
    <t>65.20.3.3.90.39.26.122.0009.2.048.03.400115</t>
  </si>
  <si>
    <t>65.20.3.3.90.39.26.122.0009.2.048.03.400128</t>
  </si>
  <si>
    <t>65.20.3.3.90.39.26.122.0009.2.048.93.400075</t>
  </si>
  <si>
    <t>65.20.3.3.90.93.26.122.0009.2.048.03.400075</t>
  </si>
  <si>
    <t>65.20.4.4.90.51.26.122.0009.2.048.03.400075</t>
  </si>
  <si>
    <t>65.20.4.4.90.51.26.122.0009.2.048.03.400170</t>
  </si>
  <si>
    <t>70.10.3.1.90.11.04.122.0007.2.002.01.110000</t>
  </si>
  <si>
    <t>Secretaria de Inovação e Desenvolvimento Econômico</t>
  </si>
  <si>
    <t>70.10.3.3.90.30.04.122.0007.2.002.01.110000</t>
  </si>
  <si>
    <t>70.10.3.3.90.36.04.122.0007.2.002.01.110000</t>
  </si>
  <si>
    <t>70.10.3.3.90.39.04.122.0007.2.002.01.110000</t>
  </si>
  <si>
    <t>70.10.3.3.90.39.11.333.0007.2.040.01.110000</t>
  </si>
  <si>
    <t>TRABALHO</t>
  </si>
  <si>
    <t>EMPREGABILIDADE</t>
  </si>
  <si>
    <t>70.10.3.3.90.39.11.333.0007.2.041.01.110000</t>
  </si>
  <si>
    <t>70.10.3.3.90.39.19.572.0007.2.058.01.110000</t>
  </si>
  <si>
    <t>CIÊNCIA E TECNOLOGIA</t>
  </si>
  <si>
    <t>DESENVOLVIMENTO TECNOLÓGICO E ENGENHARIA</t>
  </si>
  <si>
    <t>70.10.3.3.90.39.23.695.0007.2.042.01.110000</t>
  </si>
  <si>
    <t>COMÉRCIO E SERVIÇOS</t>
  </si>
  <si>
    <t>TURISMO</t>
  </si>
  <si>
    <t>70.10.4.4.90.52.19.572.0007.2.058.01.110000</t>
  </si>
  <si>
    <t>75.10.3.1.90.11.06.181.0010.2.002.01.110000</t>
  </si>
  <si>
    <t>Secretaria de Proteção ao Cidadão</t>
  </si>
  <si>
    <t>SEGURANÇA PÚBLICA</t>
  </si>
  <si>
    <t>POLICIAMENTO</t>
  </si>
  <si>
    <t>75.10.3.1.90.11.06.181.0010.2.065.06.100154</t>
  </si>
  <si>
    <t>75.10.3.1.90.96.06.181.0010.2.065.01.110000</t>
  </si>
  <si>
    <t>75.10.3.3.90.14.06.181.0010.2.002.01.110000</t>
  </si>
  <si>
    <t>75.10.3.3.90.30.06.181.0010.2.002.01.110000</t>
  </si>
  <si>
    <t>75.10.3.3.90.30.06.181.0010.2.065.01.110000</t>
  </si>
  <si>
    <t>75.10.3.3.90.30.06.181.0010.2.065.02.100196</t>
  </si>
  <si>
    <t>75.10.3.3.90.36.06.181.0010.2.002.01.110000</t>
  </si>
  <si>
    <t>75.10.3.3.90.36.06.181.0010.2.065.01.110000</t>
  </si>
  <si>
    <t>75.10.3.3.90.39.06.181.0010.2.002.01.110000</t>
  </si>
  <si>
    <t>75.10.3.3.90.39.06.181.0010.2.065.01.110000</t>
  </si>
  <si>
    <t>75.10.4.4.90.52.06.181.0010.2.065.01.110000</t>
  </si>
  <si>
    <t>80.10.3.1.90.11.04.122.0001.2.009.01.110000</t>
  </si>
  <si>
    <t>Encargos Gerais do Município</t>
  </si>
  <si>
    <t>80.10.3.1.90.13.09.271.0001.2.010.01.110000</t>
  </si>
  <si>
    <t>PREVIDÊNCIA SOCIAL</t>
  </si>
  <si>
    <t>PREVIDÊNCIA BÁSICA</t>
  </si>
  <si>
    <t>80.10.3.1.90.16.04.122.0001.2.009.01.110000</t>
  </si>
  <si>
    <t>80.10.3.1.90.91.04.122.0001.0.001.01.110000</t>
  </si>
  <si>
    <t>SENTENÇAS JUDICIAIS</t>
  </si>
  <si>
    <t>80.10.3.1.90.94.04.122.0001.2.009.01.110000</t>
  </si>
  <si>
    <t>80.10.3.1.91.13.09.271.0001.2.010.01.110000</t>
  </si>
  <si>
    <t>80.10.3.1.91.13.09.271.0001.2.010.05.600159</t>
  </si>
  <si>
    <t>80.10.3.2.90.21.28.843.0001.0.002.01.110000</t>
  </si>
  <si>
    <t>ENCARGOS ESPECIAIS</t>
  </si>
  <si>
    <t>SERVIÇO DA DÍVIDA INTERNA</t>
  </si>
  <si>
    <t>JUROS SOBRE A DÍVIDA POR CONTRATO</t>
  </si>
  <si>
    <t>80.10.3.2.90.21.28.843.0001.0.004.01.110000</t>
  </si>
  <si>
    <t>80.10.3.2.91.21.28.843.0001.0.004.01.110000</t>
  </si>
  <si>
    <t>JUROS SOBRE A DÍVIDA POR CONTRATO - INTRA-ORÇAMENTÁRIO</t>
  </si>
  <si>
    <t>80.10.3.2.91.21.28.843.0001.0.004.91.110000</t>
  </si>
  <si>
    <t>80.10.3.3.90.08.04.122.0001.2.008.01.110000</t>
  </si>
  <si>
    <t>80.10.3.3.90.39.04.122.0001.2.007.01.110000</t>
  </si>
  <si>
    <t>80.10.3.3.90.39.04.122.0001.2.008.01.110000</t>
  </si>
  <si>
    <t>80.10.3.3.90.46.04.122.0001.2.008.01.110000</t>
  </si>
  <si>
    <t>80.10.3.3.90.47.04.122.0001.2.009.91.110000</t>
  </si>
  <si>
    <t>OBRIGAÇÕES TRIBUTÁRIAS E CONTRIBUTIVAS</t>
  </si>
  <si>
    <t>80.10.3.3.90.91.04.122.0001.0.001.01.110000</t>
  </si>
  <si>
    <t>80.10.3.3.90.92.04.122.0001.2.007.01.110000</t>
  </si>
  <si>
    <t>80.10.3.3.90.93.04.122.0001.0.003.01.110000</t>
  </si>
  <si>
    <t>80.10.3.3.90.93.04.122.0001.2.007.01.110000</t>
  </si>
  <si>
    <t>80.10.4.6.90.71.28.843.0001.0.002.01.110000</t>
  </si>
  <si>
    <t>PRINCIPAL DA DÍVIDA CONTRATUAL RESGATADA</t>
  </si>
  <si>
    <t>80.10.4.6.90.71.28.843.0001.0.002.03.100081</t>
  </si>
  <si>
    <t>80.10.4.6.90.71.28.843.0001.0.002.91.110000</t>
  </si>
  <si>
    <t>80.10.4.6.90.71.28.843.0001.0.004.01.110000</t>
  </si>
  <si>
    <t>80.10.4.6.91.71.28.843.0001.0.004.01.110000</t>
  </si>
  <si>
    <t>PRINCIPAL DA DÍVIDA CONTRATUAL RESGATADA - INTRA-ORÇAMENTÁRIO</t>
  </si>
  <si>
    <t>80.10.4.6.91.71.28.843.0001.0.004.91.110000</t>
  </si>
  <si>
    <t>Rótulos de Linha</t>
  </si>
  <si>
    <t>Total Geral</t>
  </si>
  <si>
    <t>Soma de Pago  (R$)</t>
  </si>
  <si>
    <t>(Vários itens)</t>
  </si>
  <si>
    <t>Despesa:</t>
  </si>
  <si>
    <t>Natureza da despesa:</t>
  </si>
  <si>
    <t>Função: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</si>
</sst>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0" fontId="16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0" applyNumberFormat="1"/>
    <xf numFmtId="44" fontId="16" fillId="0" borderId="0" xfId="0" applyNumberFormat="1" applyFont="1"/>
    <xf numFmtId="0" fontId="16" fillId="0" borderId="10" xfId="0" applyFont="1" applyBorder="1"/>
    <xf numFmtId="44" fontId="16" fillId="0" borderId="10" xfId="0" applyNumberFormat="1" applyFont="1" applyBorder="1" applyAlignment="1">
      <alignment horizont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[Consulta de despesa por secretária.xlsm]Planilha3!Tabela dinâmica1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Planilha3!$B$3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Planilha3!$A$4:$A$19</c:f>
              <c:strCache>
                <c:ptCount val="15"/>
                <c:pt idx="0">
                  <c:v>Encargos Gerais do Município</c:v>
                </c:pt>
                <c:pt idx="1">
                  <c:v>Gabinete do Prefeito</c:v>
                </c:pt>
                <c:pt idx="2">
                  <c:v>Secretaria de Apoio Jurídico</c:v>
                </c:pt>
                <c:pt idx="3">
                  <c:v>Secretaria de Apoio Social ao Cidadão</c:v>
                </c:pt>
                <c:pt idx="4">
                  <c:v>Secretaria de Educação e Cidadania</c:v>
                </c:pt>
                <c:pt idx="5">
                  <c:v>Secretaria de Esporte e Qualidade de Vida</c:v>
                </c:pt>
                <c:pt idx="6">
                  <c:v>Secretaria de Gestão Administrativa e Finanças</c:v>
                </c:pt>
                <c:pt idx="7">
                  <c:v>Secretaria de Gestão Habitacional e Obras</c:v>
                </c:pt>
                <c:pt idx="8">
                  <c:v>Secretaria de Governança</c:v>
                </c:pt>
                <c:pt idx="9">
                  <c:v>Secretaria de Inovação e Desenvolvimento Econômico</c:v>
                </c:pt>
                <c:pt idx="10">
                  <c:v>Secretaria de Manutenção da Cidade</c:v>
                </c:pt>
                <c:pt idx="11">
                  <c:v>Secretaria de Mobilidade Urbana</c:v>
                </c:pt>
                <c:pt idx="12">
                  <c:v>Secretaria de Proteção ao Cidadão</c:v>
                </c:pt>
                <c:pt idx="13">
                  <c:v>Secretaria de Saúde</c:v>
                </c:pt>
                <c:pt idx="14">
                  <c:v>Secretaria de Urbanismo e Sustentabilidade</c:v>
                </c:pt>
              </c:strCache>
            </c:strRef>
          </c:cat>
          <c:val>
            <c:numRef>
              <c:f>Planilha3!$B$4:$B$19</c:f>
              <c:numCache>
                <c:formatCode>General</c:formatCode>
                <c:ptCount val="15"/>
                <c:pt idx="0">
                  <c:v>15239660.58</c:v>
                </c:pt>
                <c:pt idx="1">
                  <c:v>57822.52</c:v>
                </c:pt>
                <c:pt idx="2">
                  <c:v>1100991.04</c:v>
                </c:pt>
                <c:pt idx="3">
                  <c:v>7650710.8700000001</c:v>
                </c:pt>
                <c:pt idx="4">
                  <c:v>81497549.360000059</c:v>
                </c:pt>
                <c:pt idx="5">
                  <c:v>6337413.4399999995</c:v>
                </c:pt>
                <c:pt idx="6">
                  <c:v>6635553.6300000008</c:v>
                </c:pt>
                <c:pt idx="7">
                  <c:v>4011097.09</c:v>
                </c:pt>
                <c:pt idx="8">
                  <c:v>3038225.11</c:v>
                </c:pt>
                <c:pt idx="9">
                  <c:v>433817.7</c:v>
                </c:pt>
                <c:pt idx="10">
                  <c:v>19418410.300000004</c:v>
                </c:pt>
                <c:pt idx="11">
                  <c:v>14349836.129999997</c:v>
                </c:pt>
                <c:pt idx="12">
                  <c:v>4050889.84</c:v>
                </c:pt>
                <c:pt idx="13">
                  <c:v>74636357.700000033</c:v>
                </c:pt>
                <c:pt idx="14">
                  <c:v>1878602.14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DA-4B7B-B37E-7603BD72C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0703664"/>
        <c:axId val="297627424"/>
      </c:barChart>
      <c:catAx>
        <c:axId val="52070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7627424"/>
        <c:crosses val="autoZero"/>
        <c:auto val="1"/>
        <c:lblAlgn val="ctr"/>
        <c:lblOffset val="100"/>
        <c:noMultiLvlLbl val="0"/>
      </c:catAx>
      <c:valAx>
        <c:axId val="297627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070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fmlaLink="$B$3" fmlaRange="despesa_funcao!$D:$D" noThreeD="1" sel="153" val="145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0</xdr:row>
      <xdr:rowOff>95249</xdr:rowOff>
    </xdr:from>
    <xdr:to>
      <xdr:col>13</xdr:col>
      <xdr:colOff>276225</xdr:colOff>
      <xdr:row>20</xdr:row>
      <xdr:rowOff>104774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600075</xdr:colOff>
          <xdr:row>2</xdr:row>
          <xdr:rowOff>9525</xdr:rowOff>
        </xdr:from>
        <xdr:to>
          <xdr:col>2</xdr:col>
          <xdr:colOff>3505200</xdr:colOff>
          <xdr:row>3</xdr:row>
          <xdr:rowOff>171450</xdr:rowOff>
        </xdr:to>
        <xdr:sp macro="" textlink="">
          <xdr:nvSpPr>
            <xdr:cNvPr id="3074" name="Drop Dow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3171825</xdr:colOff>
          <xdr:row>11</xdr:row>
          <xdr:rowOff>9525</xdr:rowOff>
        </xdr:from>
        <xdr:to>
          <xdr:col>3</xdr:col>
          <xdr:colOff>3057525</xdr:colOff>
          <xdr:row>13</xdr:row>
          <xdr:rowOff>19050</xdr:rowOff>
        </xdr:to>
        <xdr:sp macro="" textlink="">
          <xdr:nvSpPr>
            <xdr:cNvPr id="3075" name="Button 3" descr="APAGAR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" refreshedDate="45174.671752662034" createdVersion="6" refreshedVersion="6" minRefreshableVersion="3" recordCount="404" xr:uid="{00000000-000A-0000-FFFF-FFFF0A000000}">
  <cacheSource type="worksheet">
    <worksheetSource ref="A1:K1048576" sheet="despesa_funcao"/>
  </cacheSource>
  <cacheFields count="11">
    <cacheField name="Ano" numFmtId="0">
      <sharedItems containsString="0" containsBlank="1" containsNumber="1" containsInteger="1" minValue="2022" maxValue="2022"/>
    </cacheField>
    <cacheField name="Mês" numFmtId="0">
      <sharedItems containsString="0" containsBlank="1" containsNumber="1" containsInteger="1" minValue="7" maxValue="7"/>
    </cacheField>
    <cacheField name="Classificação orçamentária" numFmtId="0">
      <sharedItems containsBlank="1" count="404">
        <s v="05.10.3.1.90.11.04.122.0001.2.002.01.110000"/>
        <s v="10.10.3.1.90.11.04.122.0001.2.002.01.110000"/>
        <s v="10.10.3.3.50.85.04.122.0001.2.050.01.110000"/>
        <s v="10.10.3.3.90.30.04.122.0001.2.002.01.110000"/>
        <s v="10.10.3.3.90.36.04.122.0001.2.002.01.110000"/>
        <s v="10.10.3.3.90.39.04.122.0001.2.002.01.110000"/>
        <s v="10.10.3.3.90.39.04.122.0001.2.003.01.110000"/>
        <s v="10.10.3.3.90.39.04.122.0001.2.050.01.110000"/>
        <s v="10.10.3.3.90.39.27.811.0001.2.004.01.110000"/>
        <s v="10.10.3.3.90.48.27.811.0001.2.004.01.110000"/>
        <s v="10.10.4.4.90.52.04.122.0001.2.002.01.110000"/>
        <s v="15.10.3.1.90.11.04.122.0001.2.002.01.110000"/>
        <s v="15.10.3.3.90.30.04.122.0001.2.002.01.110000"/>
        <s v="15.10.3.3.90.30.14.422.0001.2.006.92.100047"/>
        <s v="15.10.3.3.90.36.04.122.0001.2.002.01.110000"/>
        <s v="15.10.3.3.90.36.14.422.0001.2.006.03.100133"/>
        <s v="15.10.3.3.90.39.04.122.0001.2.002.01.110000"/>
        <s v="15.10.3.3.90.39.14.422.0001.2.006.03.100133"/>
        <s v="15.10.3.3.90.39.14.422.0001.2.006.92.100047"/>
        <s v="15.10.3.3.90.40.14.422.0001.2.006.01.110000"/>
        <s v="15.10.3.3.90.92.04.122.0001.2.002.01.110000"/>
        <s v="20.10.3.1.90.11.04.122.0001.2.002.01.110000"/>
        <s v="20.10.3.3.90.30.04.122.0001.2.002.01.110000"/>
        <s v="20.10.3.3.90.36.04.122.0001.2.002.01.110000"/>
        <s v="20.10.3.3.90.39.04.122.0001.2.002.01.110000"/>
        <s v="20.10.3.3.90.39.04.122.0001.2.051.01.110000"/>
        <s v="20.10.3.3.90.40.04.122.0001.2.051.01.110000"/>
        <s v="20.10.3.3.90.92.04.122.0001.2.002.01.110000"/>
        <s v="20.10.4.4.90.52.04.122.0001.2.051.01.100177"/>
        <s v="30.10.3.1.90.11.15.127.0011.2.002.01.110000"/>
        <s v="30.10.3.3.50.39.18.541.0011.2.052.93.100050"/>
        <s v="30.10.3.3.71.70.15.127.0011.2.011.01.100190"/>
        <s v="30.10.3.3.90.30.15.127.0011.2.002.01.110000"/>
        <s v="30.10.3.3.90.36.15.127.0011.2.002.01.110000"/>
        <s v="30.10.3.3.90.39.15.127.0011.2.002.01.110000"/>
        <s v="30.10.3.3.90.39.15.127.0011.2.011.01.110000"/>
        <s v="30.10.3.3.90.39.15.127.0011.2.011.03.100134"/>
        <s v="30.10.3.3.90.39.18.541.0011.2.052.03.100050"/>
        <s v="30.10.3.3.90.39.18.541.0011.2.052.03.100068"/>
        <s v="30.10.3.3.90.39.18.541.0011.2.052.05.100100"/>
        <s v="30.10.3.3.90.39.18.541.0011.2.052.93.100050"/>
        <s v="30.10.3.3.90.39.18.541.0011.2.052.93.100068"/>
        <s v="30.10.3.3.90.39.18.541.0011.2.052.95.100100"/>
        <s v="30.10.3.3.90.39.18.541.0011.2.052.96.100164"/>
        <s v="30.10.3.3.90.92.18.541.0011.2.052.95.100100"/>
        <s v="30.10.4.4.90.52.15.127.0011.2.002.01.110000"/>
        <s v="30.10.4.4.90.52.18.541.0011.2.052.03.100050"/>
        <s v="35.10.3.1.90.11.15.451.0002.2.002.01.110000"/>
        <s v="35.10.3.3.90.30.15.451.0002.2.002.01.110000"/>
        <s v="35.10.3.3.90.36.15.451.0002.2.002.01.110000"/>
        <s v="35.10.3.3.90.39.15.451.0002.1.003.03.100058"/>
        <s v="35.10.3.3.90.39.15.451.0002.1.003.05.100090"/>
        <s v="35.10.3.3.90.39.15.451.0002.2.002.01.110000"/>
        <s v="35.10.3.3.90.39.26.451.0002.1.016.01.110000"/>
        <s v="35.10.3.3.90.40.15.451.0002.2.002.01.110000"/>
        <s v="35.10.3.3.90.48.15.451.0002.2.002.01.110000"/>
        <s v="35.10.4.4.90.51.15.451.0002.1.003.01.100137"/>
        <s v="35.10.4.4.90.51.15.451.0002.1.003.01.110000"/>
        <s v="35.10.4.4.90.51.15.451.0002.1.003.01.140000"/>
        <s v="35.10.4.4.90.51.15.451.0002.1.003.05.800191"/>
        <s v="35.10.4.4.90.51.26.451.0002.1.016.01.400000"/>
        <s v="35.10.4.4.90.52.15.451.0002.2.002.01.110000"/>
        <s v="40.10.3.1.90.11.12.122.0003.2.064.01.110000"/>
        <s v="40.10.3.1.90.11.12.361.0003.2.012.01.220000"/>
        <s v="40.10.3.1.90.13.12.122.0003.2.064.01.110000"/>
        <s v="40.10.3.1.90.13.12.361.0003.2.012.01.220000"/>
        <s v="40.10.3.1.90.13.12.361.0003.2.013.01.220000"/>
        <s v="40.10.3.1.90.13.12.365.0003.2.054.01.213000"/>
        <s v="40.10.3.1.90.16.12.361.0003.2.012.01.220000"/>
        <s v="40.10.3.1.90.94.12.361.0003.2.012.01.220000"/>
        <s v="40.10.3.1.90.94.12.365.0003.2.054.01.213000"/>
        <s v="40.10.3.1.91.13.12.122.0003.2.064.01.110000"/>
        <s v="40.10.3.1.91.13.12.361.0003.2.012.01.220000"/>
        <s v="40.10.3.1.91.13.12.365.0003.2.054.01.212000"/>
        <s v="40.10.3.1.91.13.12.365.0003.2.054.01.213000"/>
        <s v="40.10.3.3.50.39.12.361.0003.2.013.01.220000"/>
        <s v="40.10.3.3.50.39.12.367.0003.2.017.01.240000"/>
        <s v="40.10.3.3.50.43.12.365.0003.2.028.01.210000"/>
        <s v="40.10.3.3.90.08.12.122.0003.2.064.01.110000"/>
        <s v="40.10.3.3.90.08.12.361.0003.2.012.01.220000"/>
        <s v="40.10.3.3.90.08.12.361.0003.2.013.01.220000"/>
        <s v="40.10.3.3.90.08.12.365.0003.2.054.01.212000"/>
        <s v="40.10.3.3.90.08.12.365.0003.2.054.01.213000"/>
        <s v="40.10.3.3.90.08.12.367.0003.2.017.01.240000"/>
        <s v="40.10.3.3.90.14.12.361.0003.2.012.01.220000"/>
        <s v="40.10.3.3.90.30.12.306.0003.2.025.05.280032"/>
        <s v="40.10.3.3.90.30.12.306.0003.2.025.05.281032"/>
        <s v="40.10.3.3.90.30.12.306.0003.2.025.05.282032"/>
        <s v="40.10.3.3.90.30.12.306.0003.2.025.05.284011"/>
        <s v="40.10.3.3.90.30.12.306.0003.2.025.05.285011"/>
        <s v="40.10.3.3.90.30.12.306.0003.2.025.95.284011"/>
        <s v="40.10.3.3.90.30.12.361.0003.2.012.01.220000"/>
        <s v="40.10.3.3.90.30.12.361.0003.2.013.01.220000"/>
        <s v="40.10.3.3.90.30.12.361.0003.2.013.05.282032"/>
        <s v="40.10.3.3.90.30.12.365.0003.2.054.01.212000"/>
        <s v="40.10.3.3.90.30.12.365.0003.2.054.01.213000"/>
        <s v="40.10.3.3.90.30.12.365.0003.2.054.05.280032"/>
        <s v="40.10.3.3.90.30.12.365.0003.2.054.05.281032"/>
        <s v="40.10.3.3.90.30.12.367.0003.2.017.01.240000"/>
        <s v="40.10.3.3.90.36.12.361.0003.2.012.01.220000"/>
        <s v="40.10.3.3.90.36.12.361.0003.2.013.01.220000"/>
        <s v="40.10.3.3.90.36.12.361.0003.2.026.01.220000"/>
        <s v="40.10.3.3.90.36.12.361.0003.2.026.02.220013"/>
        <s v="40.10.3.3.90.36.12.365.0003.2.054.01.212000"/>
        <s v="40.10.3.3.90.36.12.365.0003.2.054.01.213000"/>
        <s v="40.10.3.3.90.37.12.361.0003.2.012.01.220000"/>
        <s v="40.10.3.3.90.37.12.361.0003.2.013.01.220000"/>
        <s v="40.10.3.3.90.37.12.365.0003.2.054.01.212000"/>
        <s v="40.10.3.3.90.37.12.365.0003.2.054.01.213000"/>
        <s v="40.10.3.3.90.39.04.122.0003.2.024.01.220000"/>
        <s v="40.10.3.3.90.39.04.122.0003.2.053.01.220103"/>
        <s v="40.10.3.3.90.39.12.122.0003.2.064.01.110000"/>
        <s v="40.10.3.3.90.39.12.306.0003.2.025.05.280032"/>
        <s v="40.10.3.3.90.39.12.306.0003.2.025.05.281032"/>
        <s v="40.10.3.3.90.39.12.306.0003.2.025.05.282032"/>
        <s v="40.10.3.3.90.39.12.361.0003.2.007.01.220000"/>
        <s v="40.10.3.3.90.39.12.361.0003.2.012.01.220000"/>
        <s v="40.10.3.3.90.39.12.361.0003.2.013.01.220000"/>
        <s v="40.10.3.3.90.39.12.361.0003.2.013.05.282032"/>
        <s v="40.10.3.3.90.39.12.361.0003.2.026.01.220000"/>
        <s v="40.10.3.3.90.39.12.361.0003.2.026.02.220013"/>
        <s v="40.10.3.3.90.39.12.365.0003.2.054.01.212000"/>
        <s v="40.10.3.3.90.39.12.365.0003.2.054.01.213000"/>
        <s v="40.10.3.3.90.40.12.361.0003.2.012.01.220000"/>
        <s v="40.10.3.3.90.46.12.122.0003.2.064.01.110000"/>
        <s v="40.10.3.3.90.46.12.361.0003.2.012.01.220000"/>
        <s v="40.10.3.3.90.46.12.361.0003.2.013.01.220000"/>
        <s v="40.10.3.3.90.46.12.365.0003.2.054.01.212000"/>
        <s v="40.10.3.3.90.46.12.365.0003.2.054.01.213000"/>
        <s v="40.10.3.3.90.46.12.367.0003.2.017.01.240000"/>
        <s v="40.10.3.3.90.92.12.361.0003.2.007.01.220000"/>
        <s v="40.10.3.3.90.92.12.361.0003.2.013.01.220000"/>
        <s v="40.10.3.3.90.92.12.365.0003.2.054.01.213000"/>
        <s v="40.10.3.3.90.93.12.361.0003.2.012.05.282032"/>
        <s v="40.10.3.3.91.39.12.361.0003.2.013.01.220000"/>
        <s v="40.10.4.4.90.51.12.361.0003.1.015.01.220000"/>
        <s v="40.10.4.4.90.51.12.361.0003.1.015.05.282032"/>
        <s v="40.10.4.4.90.51.12.361.0003.1.015.05.296200"/>
        <s v="40.10.4.4.90.51.12.365.0003.1.014.01.212000"/>
        <s v="40.10.4.4.90.51.12.365.0003.1.014.01.213000"/>
        <s v="40.10.4.4.90.52.12.306.0003.2.025.05.282032"/>
        <s v="40.10.4.4.90.52.12.306.0003.2.025.95.281032"/>
        <s v="40.10.4.4.90.52.12.361.0003.2.013.01.220000"/>
        <s v="40.10.4.4.90.52.12.365.0003.2.054.01.212000"/>
        <s v="40.10.4.4.90.52.12.365.0003.2.054.01.213000"/>
        <s v="40.10.4.4.90.52.13.392.0003.2.057.01.220108"/>
        <s v="40.20.3.1.90.04.12.361.0003.2.021.02.261000"/>
        <s v="40.20.3.1.90.04.12.365.0003.2.022.02.272000"/>
        <s v="40.20.3.1.90.04.12.365.0003.2.023.02.271000"/>
        <s v="40.20.3.1.90.04.12.367.0003.2.061.02.261000"/>
        <s v="40.20.3.1.90.11.12.361.0003.2.021.02.261000"/>
        <s v="40.20.3.1.90.11.12.365.0003.2.022.02.272000"/>
        <s v="40.20.3.1.90.11.12.365.0003.2.023.02.271000"/>
        <s v="40.20.3.1.90.11.12.367.0003.2.061.02.261000"/>
        <s v="40.20.3.1.90.13.12.361.0003.2.021.02.261000"/>
        <s v="40.20.3.1.90.13.12.365.0003.2.022.02.272000"/>
        <s v="40.20.3.1.90.13.12.365.0003.2.023.02.271000"/>
        <s v="40.20.3.1.90.13.12.367.0003.2.061.02.261000"/>
        <s v="40.20.3.1.90.16.12.361.0003.2.021.02.261000"/>
        <s v="40.20.3.1.90.16.12.365.0003.2.022.02.272000"/>
        <s v="40.20.3.1.90.16.12.365.0003.2.023.02.271000"/>
        <s v="40.20.3.1.90.16.12.367.0003.2.061.02.261000"/>
        <s v="40.20.3.1.90.94.12.361.0003.2.021.02.261000"/>
        <s v="40.20.3.1.90.94.12.365.0003.2.022.02.272000"/>
        <s v="40.20.3.1.91.13.12.361.0003.2.021.02.261000"/>
        <s v="40.20.3.1.91.13.12.365.0003.2.022.02.272000"/>
        <s v="40.20.3.1.91.13.12.365.0003.2.023.02.271000"/>
        <s v="40.20.3.1.91.13.12.367.0003.2.061.02.261000"/>
        <s v="40.20.3.3.50.39.12.367.0003.2.061.02.262000"/>
        <s v="40.20.3.3.90.30.12.361.0003.2.021.02.262000"/>
        <s v="40.20.3.3.90.30.12.365.0003.2.022.02.274000"/>
        <s v="40.20.3.3.90.39.12.361.0003.2.021.02.262000"/>
        <s v="40.20.3.3.90.40.12.361.0003.2.021.02.262000"/>
        <s v="40.20.3.3.90.92.12.361.0003.2.021.02.262000"/>
        <s v="40.20.4.4.90.51.12.361.0003.1.015.02.262000"/>
        <s v="40.20.4.4.90.51.12.365.0003.1.014.02.273000"/>
        <s v="40.20.4.4.90.51.12.365.0003.1.014.02.274000"/>
        <s v="40.20.4.4.90.52.12.365.0003.2.022.02.274000"/>
        <s v="45.10.3.1.90.11.27.812.0004.2.002.01.110000"/>
        <s v="45.10.3.3.50.39.27.812.0004.2.029.01.110000"/>
        <s v="45.10.3.3.50.85.27.812.0004.2.029.91.110000"/>
        <s v="45.10.3.3.90.30.27.812.0004.2.002.01.110000"/>
        <s v="45.10.3.3.90.30.27.812.0004.2.029.01.110000"/>
        <s v="45.10.3.3.90.30.27.812.0004.2.063.01.110000"/>
        <s v="45.10.3.3.90.34.27.812.0004.2.002.01.110000"/>
        <s v="45.10.3.3.90.36.27.812.0004.2.002.01.110000"/>
        <s v="45.10.3.3.90.36.27.812.0004.2.029.01.110000"/>
        <s v="45.10.3.3.90.39.27.812.0004.2.002.01.110000"/>
        <s v="45.10.3.3.90.39.27.812.0004.2.029.01.110000"/>
        <s v="45.10.3.3.90.39.27.812.0004.2.029.03.100195"/>
        <s v="45.10.3.3.90.39.27.812.0004.2.063.01.110000"/>
        <s v="45.10.3.3.90.48.27.812.0004.2.029.03.100195"/>
        <s v="45.10.3.3.90.48.27.812.0004.2.063.01.110000"/>
        <s v="45.10.3.3.90.92.27.812.0004.2.002.01.110000"/>
        <s v="45.10.3.3.90.92.27.812.0004.2.063.01.110000"/>
        <s v="45.10.4.4.90.51.27.812.0004.2.029.01.110000"/>
        <s v="45.10.4.4.90.51.27.812.0004.2.029.05.800136"/>
        <s v="45.10.4.4.90.52.27.812.0004.2.002.01.110000"/>
        <s v="45.10.4.4.90.52.27.812.0004.2.063.01.110000"/>
        <s v="50.10.3.1.90.11.08.244.0005.2.002.01.510000"/>
        <s v="50.10.3.3.50.39.08.244.0005.2.031.01.510000"/>
        <s v="50.10.3.3.50.43.08.244.0005.2.031.01.510000"/>
        <s v="50.10.3.3.50.43.08.244.0005.2.031.02.500041"/>
        <s v="50.10.3.3.50.43.08.244.0005.2.031.03.500193"/>
        <s v="50.10.3.3.50.43.08.244.0005.2.031.05.500042"/>
        <s v="50.10.3.3.90.14.08.244.0005.2.002.01.510000"/>
        <s v="50.10.3.3.90.30.08.244.0005.2.002.01.510000"/>
        <s v="50.10.3.3.90.30.08.244.0005.2.031.05.500042"/>
        <s v="50.10.3.3.90.32.08.244.0005.2.031.01.510000"/>
        <s v="50.10.3.3.90.36.08.244.0005.2.002.01.510000"/>
        <s v="50.10.3.3.90.36.08.244.0005.2.031.01.510000"/>
        <s v="50.10.3.3.90.36.08.244.0005.2.031.02.500041"/>
        <s v="50.10.3.3.90.36.08.244.0005.2.031.05.500042"/>
        <s v="50.10.3.3.90.39.08.244.0005.2.002.01.510000"/>
        <s v="50.10.3.3.90.39.08.244.0005.2.030.01.510000"/>
        <s v="50.10.3.3.90.39.08.244.0005.2.031.01.510000"/>
        <s v="50.10.3.3.90.39.08.244.0005.2.031.02.500041"/>
        <s v="50.10.3.3.90.39.08.244.0005.2.031.05.500042"/>
        <s v="50.10.3.3.90.39.08.244.0005.2.031.92.500041"/>
        <s v="50.10.3.3.90.39.08.244.0005.2.031.93.500193"/>
        <s v="50.10.3.3.90.48.08.244.0005.2.030.01.510000"/>
        <s v="50.10.3.3.90.48.08.244.0005.2.031.01.500194"/>
        <s v="50.10.3.3.90.48.08.244.0005.2.031.01.510000"/>
        <s v="50.10.3.3.90.48.08.244.0005.2.031.92.500041"/>
        <s v="50.10.3.3.90.92.08.244.0005.2.031.05.500042"/>
        <s v="50.10.3.3.90.93.08.244.0005.2.002.01.510000"/>
        <s v="50.10.3.3.90.93.08.244.0005.2.031.05.500042"/>
        <s v="50.10.3.3.90.93.08.244.0005.2.031.95.500042"/>
        <s v="50.10.4.4.50.42.08.244.0005.2.002.93.500072"/>
        <s v="50.10.4.4.90.52.08.244.0005.2.002.01.510000"/>
        <s v="50.10.4.4.90.52.08.244.0005.2.031.05.500042"/>
        <s v="55.10.3.1.90.11.04.452.0008.2.002.01.110000"/>
        <s v="55.10.3.3.90.30.04.452.0008.2.002.01.110000"/>
        <s v="55.10.3.3.90.30.15.451.0008.2.043.03.100081"/>
        <s v="55.10.3.3.90.30.15.452.0008.2.044.01.110000"/>
        <s v="55.10.3.3.90.36.15.452.0008.2.044.01.110000"/>
        <s v="55.10.3.3.90.39.04.452.0008.2.002.01.110000"/>
        <s v="55.10.3.3.90.39.15.451.0008.2.043.03.100081"/>
        <s v="55.10.3.3.90.39.15.452.0008.2.044.01.110000"/>
        <s v="55.10.3.3.90.39.17.512.0008.2.045.01.110000"/>
        <s v="55.10.3.3.90.92.15.452.0008.2.044.01.110000"/>
        <s v="55.10.3.3.90.93.15.452.0008.2.044.01.110000"/>
        <s v="55.10.4.4.90.51.15.451.0008.2.043.03.100081"/>
        <s v="55.10.4.4.90.52.04.452.0008.2.002.01.110000"/>
        <s v="55.10.4.4.90.52.15.451.0008.2.043.03.100081"/>
        <s v="60.10.3.1.90.11.10.301.0006.2.002.01.301000"/>
        <s v="60.10.3.1.90.13.10.301.0006.2.002.01.301000"/>
        <s v="60.10.3.1.90.16.10.301.0006.2.002.01.301000"/>
        <s v="60.10.3.1.90.94.10.301.0006.2.002.01.301000"/>
        <s v="60.10.3.1.90.96.10.301.0006.2.002.01.110000"/>
        <s v="60.10.3.1.91.13.10.301.0006.2.002.01.301000"/>
        <s v="60.10.3.3.90.08.10.301.0006.2.002.01.301000"/>
        <s v="60.10.3.3.90.14.10.301.0006.2.002.01.301000"/>
        <s v="60.10.3.3.90.30.10.301.0006.2.002.01.301000"/>
        <s v="60.10.3.3.90.36.10.301.0006.2.002.01.301000"/>
        <s v="60.10.3.3.90.36.10.301.0006.2.051.01.301000"/>
        <s v="60.10.3.3.90.37.10.301.0006.2.051.01.301000"/>
        <s v="60.10.3.3.90.37.10.301.0006.2.051.01.312167"/>
        <s v="60.10.3.3.90.39.10.301.0006.2.002.01.301000"/>
        <s v="60.10.3.3.90.39.10.301.0006.2.007.01.301000"/>
        <s v="60.10.3.3.90.39.10.301.0006.2.051.01.301000"/>
        <s v="60.10.3.3.90.39.10.301.0006.2.051.01.312167"/>
        <s v="60.10.3.3.90.46.10.301.0006.2.002.01.301000"/>
        <s v="60.10.3.3.90.92.10.301.0006.2.002.01.301000"/>
        <s v="60.10.4.4.90.52.10.122.0006.2.062.06.340000"/>
        <s v="60.10.4.4.90.52.10.301.0006.1.010.05.800055"/>
        <s v="60.30.3.3.50.39.10.302.0006.2.033.01.302000"/>
        <s v="60.30.3.3.50.39.10.302.0006.2.033.01.312167"/>
        <s v="60.30.3.3.50.39.10.302.0006.2.033.02.302024"/>
        <s v="60.30.3.3.50.39.10.302.0006.2.033.05.302023"/>
        <s v="60.30.3.3.50.39.10.302.0006.2.033.05.312161"/>
        <s v="60.30.3.3.50.39.10.302.0006.2.033.95.312161"/>
        <s v="60.30.3.3.71.70.10.302.0006.2.032.01.302000"/>
        <s v="60.30.3.3.71.70.10.302.0006.2.032.05.302023"/>
        <s v="60.30.4.4.50.42.10.302.0006.2.033.01.302000"/>
        <s v="60.30.4.4.50.42.10.302.0006.2.033.96.340000"/>
        <s v="60.50.3.1.90.04.10.301.0006.2.034.05.301022"/>
        <s v="60.50.3.1.90.04.10.305.0006.2.038.05.303038"/>
        <s v="60.50.3.3.90.30.04.304.0006.2.055.01.303000"/>
        <s v="60.50.3.3.90.30.10.301.0006.2.034.01.301000"/>
        <s v="60.50.3.3.90.30.10.301.0006.2.034.02.301024"/>
        <s v="60.50.3.3.90.30.10.301.0006.2.034.05.301022"/>
        <s v="60.50.3.3.90.30.10.301.0006.2.034.05.305053"/>
        <s v="60.50.3.3.90.30.10.301.0006.2.034.06.312162"/>
        <s v="60.50.3.3.90.30.10.301.0006.2.034.96.312162"/>
        <s v="60.50.3.3.90.30.10.303.0006.2.036.01.304000"/>
        <s v="60.50.3.3.90.30.10.303.0006.2.036.05.304040"/>
        <s v="60.50.3.3.90.30.10.303.0006.2.036.05.312161"/>
        <s v="60.50.3.3.90.30.10.304.0006.2.037.06.320000"/>
        <s v="60.50.3.3.90.30.10.305.0006.2.038.01.303000"/>
        <s v="60.50.3.3.90.30.10.305.0006.2.038.05.303019"/>
        <s v="60.50.3.3.90.30.10.305.0006.2.038.05.303038"/>
        <s v="60.50.3.3.90.32.10.301.0006.2.034.05.301022"/>
        <s v="60.50.3.3.90.32.10.301.0006.2.034.95.301022"/>
        <s v="60.50.3.3.90.32.10.303.0006.2.036.01.304000"/>
        <s v="60.50.3.3.90.36.10.301.0006.2.034.01.301000"/>
        <s v="60.50.3.3.90.36.10.304.0006.2.037.06.320000"/>
        <s v="60.50.3.3.90.36.10.305.0006.2.038.05.303038"/>
        <s v="60.50.3.3.90.37.10.301.0006.2.034.01.301000"/>
        <s v="60.50.3.3.90.37.10.301.0006.2.034.05.301022"/>
        <s v="60.50.3.3.90.37.10.301.0006.2.034.92.312161"/>
        <s v="60.50.3.3.90.39.04.304.0006.2.055.01.303000"/>
        <s v="60.50.3.3.90.39.04.304.0006.2.060.01.303000"/>
        <s v="60.50.3.3.90.39.10.301.0006.2.034.01.301000"/>
        <s v="60.50.3.3.90.39.10.301.0006.2.034.05.301022"/>
        <s v="60.50.3.3.90.39.10.301.0006.2.034.05.305053"/>
        <s v="60.50.3.3.90.39.10.301.0006.2.034.95.312161"/>
        <s v="60.50.3.3.90.39.10.304.0006.2.037.06.320000"/>
        <s v="60.50.3.3.90.39.10.304.0006.2.037.96.320000"/>
        <s v="60.50.3.3.90.39.10.305.0006.2.038.01.303000"/>
        <s v="60.50.3.3.90.39.10.305.0006.2.038.05.303019"/>
        <s v="60.50.3.3.90.39.10.305.0006.2.038.05.303038"/>
        <s v="60.50.3.3.90.39.10.305.0006.2.038.06.320000"/>
        <s v="60.50.3.3.90.40.10.301.0006.2.034.05.301022"/>
        <s v="60.50.3.3.90.48.10.301.0006.2.034.01.301000"/>
        <s v="60.50.4.4.90.52.04.304.0006.2.055.01.303000"/>
        <s v="60.50.4.4.90.52.10.304.0006.2.037.06.320000"/>
        <s v="60.70.3.3.50.39.10.302.0006.2.059.01.302000"/>
        <s v="60.70.3.3.50.39.10.302.0006.2.059.01.312167"/>
        <s v="60.70.3.3.50.39.10.302.0006.2.059.05.302023"/>
        <s v="60.70.3.3.90.30.10.302.0006.2.035.01.302000"/>
        <s v="60.70.3.3.90.30.10.302.0006.2.035.01.312167"/>
        <s v="60.70.3.3.90.30.10.302.0006.2.035.05.302023"/>
        <s v="60.70.3.3.90.32.10.302.0006.2.035.01.302000"/>
        <s v="60.70.3.3.90.32.10.302.0006.2.035.05.302023"/>
        <s v="60.70.3.3.90.37.10.302.0006.2.035.05.302023"/>
        <s v="60.70.3.3.90.39.10.302.0006.2.035.01.302000"/>
        <s v="60.70.3.3.90.39.10.302.0006.2.035.05.302023"/>
        <s v="60.70.3.3.90.39.10.302.0006.2.035.95.302023"/>
        <s v="60.70.3.3.90.40.10.302.0006.2.035.01.302000"/>
        <s v="60.70.3.3.90.48.10.302.0006.2.035.05.302023"/>
        <s v="60.70.4.4.90.52.10.302.0006.2.035.01.302000"/>
        <s v="60.70.4.4.90.52.10.302.0006.2.035.92.301024"/>
        <s v="65.10.3.1.90.11.26.122.0009.2.002.01.400000"/>
        <s v="65.10.3.3.90.30.26.122.0009.2.002.01.400000"/>
        <s v="65.10.3.3.90.36.26.122.0009.2.002.01.400000"/>
        <s v="65.10.3.3.90.39.26.122.0009.2.002.01.400000"/>
        <s v="65.10.3.3.90.39.26.451.0009.1.016.01.400000"/>
        <s v="65.10.3.3.90.39.26.451.0009.1.016.93.400075"/>
        <s v="65.10.3.3.90.93.26.122.0009.2.002.01.400000"/>
        <s v="65.10.4.4.90.51.26.451.0009.1.012.01.400000"/>
        <s v="65.10.4.4.90.51.26.451.0009.1.012.05.800142"/>
        <s v="65.10.4.4.90.51.26.451.0009.1.012.06.400151"/>
        <s v="65.10.4.4.90.61.26.451.0009.1.012.01.400000"/>
        <s v="65.10.4.4.90.92.26.451.0009.1.016.01.400000"/>
        <s v="65.20.3.3.20.41.26.122.0009.2.048.03.470000"/>
        <s v="65.20.3.3.90.30.26.122.0009.2.048.03.400075"/>
        <s v="65.20.3.3.90.39.26.122.0009.2.048.01.400000"/>
        <s v="65.20.3.3.90.39.26.122.0009.2.048.03.400075"/>
        <s v="65.20.3.3.90.39.26.122.0009.2.048.03.400076"/>
        <s v="65.20.3.3.90.39.26.122.0009.2.048.03.400115"/>
        <s v="65.20.3.3.90.39.26.122.0009.2.048.03.400128"/>
        <s v="65.20.3.3.90.39.26.122.0009.2.048.93.400075"/>
        <s v="65.20.3.3.90.93.26.122.0009.2.048.03.400075"/>
        <s v="65.20.4.4.90.51.26.122.0009.2.048.03.400075"/>
        <s v="65.20.4.4.90.51.26.122.0009.2.048.03.400170"/>
        <s v="70.10.3.1.90.11.04.122.0007.2.002.01.110000"/>
        <s v="70.10.3.3.90.30.04.122.0007.2.002.01.110000"/>
        <s v="70.10.3.3.90.36.04.122.0007.2.002.01.110000"/>
        <s v="70.10.3.3.90.39.04.122.0007.2.002.01.110000"/>
        <s v="70.10.3.3.90.39.11.333.0007.2.040.01.110000"/>
        <s v="70.10.3.3.90.39.11.333.0007.2.041.01.110000"/>
        <s v="70.10.3.3.90.39.19.572.0007.2.058.01.110000"/>
        <s v="70.10.3.3.90.39.23.695.0007.2.042.01.110000"/>
        <s v="70.10.4.4.90.52.19.572.0007.2.058.01.110000"/>
        <s v="75.10.3.1.90.11.06.181.0010.2.002.01.110000"/>
        <s v="75.10.3.1.90.11.06.181.0010.2.065.06.100154"/>
        <s v="75.10.3.1.90.96.06.181.0010.2.065.01.110000"/>
        <s v="75.10.3.3.90.14.06.181.0010.2.002.01.110000"/>
        <s v="75.10.3.3.90.30.06.181.0010.2.002.01.110000"/>
        <s v="75.10.3.3.90.30.06.181.0010.2.065.01.110000"/>
        <s v="75.10.3.3.90.30.06.181.0010.2.065.02.100196"/>
        <s v="75.10.3.3.90.36.06.181.0010.2.002.01.110000"/>
        <s v="75.10.3.3.90.36.06.181.0010.2.065.01.110000"/>
        <s v="75.10.3.3.90.39.06.181.0010.2.002.01.110000"/>
        <s v="75.10.3.3.90.39.06.181.0010.2.065.01.110000"/>
        <s v="75.10.4.4.90.52.06.181.0010.2.065.01.110000"/>
        <s v="80.10.3.1.90.11.04.122.0001.2.009.01.110000"/>
        <s v="80.10.3.1.90.13.09.271.0001.2.010.01.110000"/>
        <s v="80.10.3.1.90.16.04.122.0001.2.009.01.110000"/>
        <s v="80.10.3.1.90.91.04.122.0001.0.001.01.110000"/>
        <s v="80.10.3.1.90.94.04.122.0001.2.009.01.110000"/>
        <s v="80.10.3.1.91.13.09.271.0001.2.010.01.110000"/>
        <s v="80.10.3.1.91.13.09.271.0001.2.010.05.600159"/>
        <s v="80.10.3.2.90.21.28.843.0001.0.002.01.110000"/>
        <s v="80.10.3.2.90.21.28.843.0001.0.004.01.110000"/>
        <s v="80.10.3.2.91.21.28.843.0001.0.004.01.110000"/>
        <s v="80.10.3.2.91.21.28.843.0001.0.004.91.110000"/>
        <s v="80.10.3.3.90.08.04.122.0001.2.008.01.110000"/>
        <s v="80.10.3.3.90.39.04.122.0001.2.007.01.110000"/>
        <s v="80.10.3.3.90.39.04.122.0001.2.008.01.110000"/>
        <s v="80.10.3.3.90.46.04.122.0001.2.008.01.110000"/>
        <s v="80.10.3.3.90.47.04.122.0001.2.009.91.110000"/>
        <s v="80.10.3.3.90.91.04.122.0001.0.001.01.110000"/>
        <s v="80.10.3.3.90.92.04.122.0001.2.007.01.110000"/>
        <s v="80.10.3.3.90.93.04.122.0001.0.003.01.110000"/>
        <s v="80.10.3.3.90.93.04.122.0001.2.007.01.110000"/>
        <s v="80.10.4.6.90.71.28.843.0001.0.002.01.110000"/>
        <s v="80.10.4.6.90.71.28.843.0001.0.002.03.100081"/>
        <s v="80.10.4.6.90.71.28.843.0001.0.002.91.110000"/>
        <s v="80.10.4.6.90.71.28.843.0001.0.004.01.110000"/>
        <s v="80.10.4.6.91.71.28.843.0001.0.004.01.110000"/>
        <s v="80.10.4.6.91.71.28.843.0001.0.004.91.110000"/>
        <m/>
      </sharedItems>
    </cacheField>
    <cacheField name="Secretaria" numFmtId="0">
      <sharedItems containsBlank="1" count="16">
        <s v="Gabinete do Prefeito"/>
        <s v="Secretaria de Governança"/>
        <s v="Secretaria de Apoio Jurídico"/>
        <s v="Secretaria de Gestão Administrativa e Finanças"/>
        <s v="Secretaria de Urbanismo e Sustentabilidade"/>
        <s v="Secretaria de Gestão Habitacional e Obras"/>
        <s v="Secretaria de Educação e Cidadania"/>
        <s v="Secretaria de Esporte e Qualidade de Vida"/>
        <s v="Secretaria de Apoio Social ao Cidadão"/>
        <s v="Secretaria de Manutenção da Cidade"/>
        <s v="Secretaria de Saúde"/>
        <s v="Secretaria de Mobilidade Urbana"/>
        <s v="Secretaria de Inovação e Desenvolvimento Econômico"/>
        <s v="Secretaria de Proteção ao Cidadão"/>
        <s v="Encargos Gerais do Município"/>
        <m/>
      </sharedItems>
    </cacheField>
    <cacheField name="Função" numFmtId="0">
      <sharedItems containsBlank="1" count="18">
        <s v="ADMINISTRAÇÃO"/>
        <s v="DESPORTO E LAZER"/>
        <s v="DIREITOS DA CIDADANIA"/>
        <s v="URBANISMO"/>
        <s v="GESTÃO AMBIENTAL"/>
        <s v="TRANSPORTE"/>
        <s v="EDUCAÇÃO"/>
        <s v="CULTURA"/>
        <s v="ASSISTÊNCIA SOCIAL"/>
        <s v="SANEAMENTO"/>
        <s v="SAÚDE"/>
        <s v="TRABALHO"/>
        <s v="CIÊNCIA E TECNOLOGIA"/>
        <s v="COMÉRCIO E SERVIÇOS"/>
        <s v="SEGURANÇA PÚBLICA"/>
        <s v="PREVIDÊNCIA SOCIAL"/>
        <s v="ENCARGOS ESPECIAIS"/>
        <m/>
      </sharedItems>
    </cacheField>
    <cacheField name="Subfunção" numFmtId="0">
      <sharedItems containsBlank="1" count="27">
        <s v="ADMINISTRAÇÃO GERAL"/>
        <s v="DESPORTO DE RENDIMENTO"/>
        <s v="DIREITOS INDIVIDUAIS, COLETIVOS E DIFUSOS"/>
        <s v="ORDENAMENTO TERRITORIAL"/>
        <s v="PRESERVAÇÃO E CONSERVAÇÃO AMBIENTAL"/>
        <s v="INFRA-ESTRUTURA URBANA"/>
        <s v="ENSINO FUNDAMENTAL"/>
        <s v="EDUCAÇÃO INFANTIL"/>
        <s v="EDUCAÇÃO ESPECIAL"/>
        <s v="ALIMENTAÇÃO E NUTRIÇÃO"/>
        <s v="DIFUSÃO CULTURAL"/>
        <s v="DESPORTO COMUNITÁRIO"/>
        <s v="ASSISTÊNCIA COMUNITÁRIA"/>
        <s v="SERVIÇOS URBANOS"/>
        <s v="SANEAMENTO BÁSICO URBANO"/>
        <s v="ATENÇÃO BÁSICA"/>
        <s v="ASSISTÊNCIA HOSPITALAR E AMBULATORIAL"/>
        <s v="VIGILÂNCIA EPIDEMIOLÓGICA"/>
        <s v="VIGILÂNCIA SANITÁRIA"/>
        <s v="SUPORTE PROFILÁTICO E TERAPÊUTICO"/>
        <s v="EMPREGABILIDADE"/>
        <s v="DESENVOLVIMENTO TECNOLÓGICO E ENGENHARIA"/>
        <s v="TURISMO"/>
        <s v="POLICIAMENTO"/>
        <s v="PREVIDÊNCIA BÁSICA"/>
        <s v="SERVIÇO DA DÍVIDA INTERNA"/>
        <m/>
      </sharedItems>
    </cacheField>
    <cacheField name="Natureza da despesa" numFmtId="0">
      <sharedItems containsBlank="1" count="36">
        <s v="VENCIMENTOS E VANTAGENS FIXAS -  PESSOAL CIVIL"/>
        <s v="CONTRATO DE GESTÃO-"/>
        <s v="MATERIAL DE CONSUMO"/>
        <s v="OUTROS SERVIÇOS DE TERCEIROS - PESSOA FÍSICA"/>
        <s v="OUTROS SERVIÇOS DE TERCEIROS -  PESSOA JURÍDICA"/>
        <s v="OUTROS AUXÍLIOS FINANCEIROS A PESSOA FÍSICA"/>
        <s v="EQUIPAMENTOS E MATERIAL PERMANENTE"/>
        <s v="SERVIÇOS DE TECNOLOGIA DA INFORMAÇÃO E COMUNICAÇÃO - PJ"/>
        <s v="DESPESAS DE EXERCÍCIOS ANTERIORES"/>
        <s v="OUTROS SERVIÇOS DE TERCEIROS -PESSOA JURÍDICA"/>
        <s v="RATEIO PELA PARTICIPAÇÃO EM CONSÓRCIO PÚBLICO"/>
        <s v="OBRAS E INSTALAÇÕES"/>
        <s v="OBRIGAÇÕES PATRONAIS"/>
        <s v="OUTRAS DESPESAS VARIÁVEIS - PESSOAL CIVIL"/>
        <s v="INDENIZAÇÕES E RESTITUIÇÕES TRABALHISTAS"/>
        <s v="SUBVENÇÕES SOCIAIS"/>
        <s v="OUTROS BENEFÍCIOS ASSISTENCIAIS DO SERVIDOR E DO MILITAR"/>
        <s v="DIÁRIAS - PESSOAL CIVIL"/>
        <s v="LOCAÇÃO DE MÃO-DE-OBRA"/>
        <s v="AUXÍLIO ALIMENTAÇÃO"/>
        <s v="INDENIZAÇÕES E RESTITUIÇÕES"/>
        <s v="OUTROS SERVIÇOS DE TERCEIROS -  PESSOA JURÍDICA - INTRA-ORÇAMENTÁRIO"/>
        <s v="CONTRATAÇÃO POR TEMPO DETERMINADO"/>
        <s v="OUTRAS DESPESAS DE PESSOAL DECORRENTES DE CONTRATOS DE TERCEIRIZAÇÃO"/>
        <s v="MATERIAL, BEM OU SERVIÇO PARA DISTRIBUIÇÃO GRATUITA"/>
        <s v="AUXÍLIOS"/>
        <s v="RESSARCIMENTO DE DESPESAS DE PESSOAL REQUISITADO"/>
        <s v="AQUISIÇÃO DE IMÓVEIS"/>
        <s v="CONTRIBUIÇÕES"/>
        <s v="SENTENÇAS JUDICIAIS"/>
        <s v="JUROS SOBRE A DÍVIDA POR CONTRATO"/>
        <s v="JUROS SOBRE A DÍVIDA POR CONTRATO - INTRA-ORÇAMENTÁRIO"/>
        <s v="OBRIGAÇÕES TRIBUTÁRIAS E CONTRIBUTIVAS"/>
        <s v="PRINCIPAL DA DÍVIDA CONTRATUAL RESGATADA"/>
        <s v="PRINCIPAL DA DÍVIDA CONTRATUAL RESGATADA - INTRA-ORÇAMENTÁRIO"/>
        <m/>
      </sharedItems>
    </cacheField>
    <cacheField name="Fonte de recurso" numFmtId="0">
      <sharedItems containsBlank="1" count="11">
        <s v="TESOURO"/>
        <s v="TRANSFERENCIAS E CONVENIOS ESTADUAIS - VINCULADOS - EXERCÍCIO ANTERIOR"/>
        <s v="RECURSOS PROPRIOS DE FUNDOS ESPECIAIS DE DESPESA - VINCULADOS"/>
        <s v="RECURSOS PROPRIOS DE FUNDOS ESPECIAIS DE DESPESA - VINCULADOS - EXERCÍCIO ANTERIOR"/>
        <s v="TRANSFERENCIAS E CONVENIOS FEDERAIS - VINCULADOS"/>
        <s v="TRANSFERENCIAS E CONVENIOS FEDERAIS - VINCULADOS - EXERCÍCIO ANTERIOR"/>
        <s v="OUTRAS FONTES DE RECURSOS - EXERCÍCIO ANTERIOR"/>
        <s v="TRANSFERENCIAS E CONVENIOS ESTADUAIS - VINCULADOS"/>
        <s v="TESOURO - EXERCÍCIO ANTERIOR"/>
        <s v="OUTRAS FONTES DE RECURSOS"/>
        <m/>
      </sharedItems>
    </cacheField>
    <cacheField name="Empenhado (R$)" numFmtId="0">
      <sharedItems containsString="0" containsBlank="1" containsNumber="1" minValue="-8418962.8900000006" maxValue="33586918.740000002" count="294">
        <n v="57822.52"/>
        <n v="653894.89"/>
        <n v="1080027.93"/>
        <n v="29354.240000000002"/>
        <n v="0"/>
        <n v="1096730.31"/>
        <n v="5625000"/>
        <n v="211647.6"/>
        <n v="500992.52"/>
        <n v="3547.98"/>
        <n v="813440.35"/>
        <n v="75744.02"/>
        <n v="15691.87"/>
        <n v="225"/>
        <n v="447296"/>
        <n v="261.81"/>
        <n v="1999132.64"/>
        <n v="42637.74"/>
        <n v="-61585.04"/>
        <n v="31954.15"/>
        <n v="586764.71"/>
        <n v="30312.5"/>
        <n v="320"/>
        <n v="487877.06"/>
        <n v="70386.38"/>
        <n v="7162.25"/>
        <n v="-943.55"/>
        <n v="48431.91"/>
        <n v="-985"/>
        <n v="-25914.94"/>
        <n v="5646"/>
        <n v="320006.76"/>
        <n v="-0.1"/>
        <n v="21408"/>
        <n v="87550.2"/>
        <n v="-63280.03"/>
        <n v="938497.45"/>
        <n v="-223295.19"/>
        <n v="420000"/>
        <n v="47915.34"/>
        <n v="675540"/>
        <n v="1987.92"/>
        <n v="36953.89"/>
        <n v="939.77"/>
        <n v="2559.48"/>
        <n v="1464.48"/>
        <n v="38044.910000000003"/>
        <n v="429.29"/>
        <n v="2149.38"/>
        <n v="163905.76999999999"/>
        <n v="42.55"/>
        <n v="1941.35"/>
        <n v="3420606.83"/>
        <n v="2065423"/>
        <n v="4061134.01"/>
        <n v="125"/>
        <n v="5862.26"/>
        <n v="55403.69"/>
        <n v="9693.59"/>
        <n v="70551.87"/>
        <n v="1425"/>
        <n v="70"/>
        <n v="-25790.42"/>
        <n v="360915.6"/>
        <n v="117031.64"/>
        <n v="355267.27"/>
        <n v="1507865.41"/>
        <n v="42684.44"/>
        <n v="97847.76"/>
        <n v="127584.81"/>
        <n v="156955.5"/>
        <n v="22500"/>
        <n v="22070.71"/>
        <n v="392234.75"/>
        <n v="2191.7600000000002"/>
        <n v="554138.54"/>
        <n v="36462.160000000003"/>
        <n v="367411.48"/>
        <n v="-1560"/>
        <n v="-29758.5"/>
        <n v="159698"/>
        <n v="-47643.95"/>
        <n v="-121568.78"/>
        <n v="350"/>
        <n v="57200.67"/>
        <n v="197353.79"/>
        <n v="-493531.22"/>
        <n v="71816.850000000006"/>
        <n v="364000"/>
        <n v="1342"/>
        <n v="58329"/>
        <n v="816463"/>
        <n v="109890"/>
        <n v="871682"/>
        <n v="19580"/>
        <n v="280000"/>
        <n v="8072"/>
        <n v="-0.01"/>
        <n v="23836.66"/>
        <n v="1151863.6599999999"/>
        <n v="2877664.62"/>
        <n v="-678395.16"/>
        <n v="2313952.75"/>
        <n v="181503.54"/>
        <n v="926908.08"/>
        <n v="4560"/>
        <n v="2870235.57"/>
        <n v="1865847.34"/>
        <n v="115737.7"/>
        <n v="6532.43"/>
        <n v="10318512.51"/>
        <n v="8255396.2999999998"/>
        <n v="1192367.0900000001"/>
        <n v="348548.51"/>
        <n v="917148.15"/>
        <n v="549392.98"/>
        <n v="36216.97"/>
        <n v="2243.0300000000002"/>
        <n v="667461.91"/>
        <n v="206328.27"/>
        <n v="24669.7"/>
        <n v="5637"/>
        <n v="178120.29"/>
        <n v="124855.39"/>
        <n v="2296016.38"/>
        <n v="1956948.95"/>
        <n v="287640.14"/>
        <n v="80101.5"/>
        <n v="2638000.85"/>
        <n v="3521978.23"/>
        <n v="576582.68999999994"/>
        <n v="201095"/>
        <n v="282.91000000000003"/>
        <n v="-8418962.8900000006"/>
        <n v="-1260885.29"/>
        <n v="-1265000"/>
        <n v="623062.59"/>
        <n v="150000"/>
        <n v="13798000"/>
        <n v="1419.25"/>
        <n v="20207.18"/>
        <n v="128151.3"/>
        <n v="1504.59"/>
        <n v="225657.04"/>
        <n v="-13347.06"/>
        <n v="562965.75"/>
        <n v="1394.8"/>
        <n v="18006.29"/>
        <n v="115713.7"/>
        <n v="860521.73"/>
        <n v="1891104.9"/>
        <n v="1331759.43"/>
        <n v="70234.759999999995"/>
        <n v="-2.5"/>
        <n v="33048.589999999997"/>
        <n v="4525"/>
        <n v="52964.160000000003"/>
        <n v="112418.38"/>
        <n v="61197.86"/>
        <n v="1900"/>
        <n v="32000"/>
        <n v="11883"/>
        <n v="247048.2"/>
        <n v="9200"/>
        <n v="250100"/>
        <n v="24500"/>
        <n v="78724.25"/>
        <n v="1800"/>
        <n v="37314.800000000003"/>
        <n v="925200"/>
        <n v="22129.05"/>
        <n v="5861"/>
        <n v="1729234.54"/>
        <n v="2000"/>
        <n v="50948.43"/>
        <n v="-128616.4"/>
        <n v="9126.92"/>
        <n v="484.2"/>
        <n v="63302.94"/>
        <n v="4817388.87"/>
        <n v="61.42"/>
        <n v="10674.14"/>
        <n v="13511715.73"/>
        <n v="463682.86"/>
        <n v="622259.69999999995"/>
        <n v="526376.09"/>
        <n v="27141.96"/>
        <n v="2661198.3199999998"/>
        <n v="45140.160000000003"/>
        <n v="2795"/>
        <n v="-60908.76"/>
        <n v="-1412.59"/>
        <n v="37749.910000000003"/>
        <n v="-178038.38"/>
        <n v="-24067.81"/>
        <n v="195740.5"/>
        <n v="143059.16"/>
        <n v="495894"/>
        <n v="7998"/>
        <n v="56708"/>
        <n v="39065.5"/>
        <n v="-0.04"/>
        <n v="6461171.0899999999"/>
        <n v="16435577.43"/>
        <n v="33586918.740000002"/>
        <n v="384811"/>
        <n v="-562"/>
        <n v="1148602"/>
        <n v="710802.36"/>
        <n v="601712.03"/>
        <n v="18087.259999999998"/>
        <n v="40411.01"/>
        <n v="376328.1"/>
        <n v="43685.27"/>
        <n v="3143.25"/>
        <n v="65750"/>
        <n v="1011136.36"/>
        <n v="1022877.33"/>
        <n v="3566.92"/>
        <n v="1210.5"/>
        <n v="57160.25"/>
        <n v="176525.03"/>
        <n v="-64.599999999999994"/>
        <n v="48244.51"/>
        <n v="123371.08"/>
        <n v="143387.26999999999"/>
        <n v="67839.58"/>
        <n v="-55679.49"/>
        <n v="988029.82"/>
        <n v="120541.07"/>
        <n v="450"/>
        <n v="4680"/>
        <n v="400"/>
        <n v="15"/>
        <n v="-145157.47"/>
        <n v="10624.36"/>
        <n v="34868"/>
        <n v="968381.97"/>
        <n v="1837335.86"/>
        <n v="177070.82"/>
        <n v="512584.76"/>
        <n v="164415.69"/>
        <n v="260949.66"/>
        <n v="6909320.54"/>
        <n v="-194975.46"/>
        <n v="1403719.95"/>
        <n v="14729"/>
        <n v="39432.04"/>
        <n v="680544.99"/>
        <n v="3891.72"/>
        <n v="2513.42"/>
        <n v="-196012.27"/>
        <n v="4930261.1100000003"/>
        <n v="-228434.18"/>
        <n v="1814279"/>
        <n v="720000"/>
        <n v="1108"/>
        <n v="-395000"/>
        <n v="3343.56"/>
        <n v="490.93"/>
        <n v="206647.54"/>
        <n v="20368.71"/>
        <n v="500"/>
        <n v="1000"/>
        <n v="38171.919999999998"/>
        <n v="2970893.48"/>
        <n v="11760"/>
        <n v="143158.91"/>
        <n v="2800"/>
        <n v="3977.61"/>
        <n v="34979.29"/>
        <n v="129240.64"/>
        <n v="3995.5"/>
        <n v="368852.62"/>
        <n v="2580"/>
        <n v="1298678.49"/>
        <n v="468353.19"/>
        <n v="333939.74"/>
        <n v="1920140"/>
        <n v="161091.76"/>
        <n v="-3505.84"/>
        <n v="2020743.69"/>
        <n v="70000"/>
        <n v="42573.06"/>
        <n v="767745"/>
        <n v="-47203.01"/>
        <n v="614562"/>
        <n v="2598102.2400000002"/>
        <n v="87140.3"/>
        <n v="100000"/>
        <n v="852.08"/>
        <n v="225178.99"/>
        <n v="4149000"/>
        <m/>
      </sharedItems>
    </cacheField>
    <cacheField name="Liquidado  (R$)" numFmtId="0">
      <sharedItems containsString="0" containsBlank="1" containsNumber="1" minValue="-3505.84" maxValue="13511715.73" count="350">
        <n v="57822.52"/>
        <n v="653894.89"/>
        <n v="0"/>
        <n v="31602.33"/>
        <n v="10182.02"/>
        <n v="326879.65000000002"/>
        <n v="830953.94"/>
        <n v="245576.1"/>
        <n v="211647.6"/>
        <n v="500992.52"/>
        <n v="813440.35"/>
        <n v="832.6"/>
        <n v="126994.58"/>
        <n v="4636.71"/>
        <n v="33927.910000000003"/>
        <n v="78395.75"/>
        <n v="51167.73"/>
        <n v="261.81"/>
        <n v="1999132.64"/>
        <n v="372699.52"/>
        <n v="55747.91"/>
        <n v="28574.21"/>
        <n v="1344510.4"/>
        <n v="2952780.8"/>
        <n v="3780"/>
        <n v="487877.06"/>
        <n v="11230.54"/>
        <n v="29003.919999999998"/>
        <n v="74002.87"/>
        <n v="803672.03"/>
        <n v="29647.06"/>
        <n v="3906.39"/>
        <n v="8000"/>
        <n v="92657.19"/>
        <n v="84833.33"/>
        <n v="6700"/>
        <n v="320006.76"/>
        <n v="416.3"/>
        <n v="15189.48"/>
        <n v="21408"/>
        <n v="1233903.0900000001"/>
        <n v="239"/>
        <n v="175891.20000000001"/>
        <n v="135063.06"/>
        <n v="181611.23"/>
        <n v="69918.67"/>
        <n v="613221.06999999995"/>
        <n v="19351.580000000002"/>
        <n v="47915.34"/>
        <n v="675540"/>
        <n v="1987.92"/>
        <n v="36953.89"/>
        <n v="939.77"/>
        <n v="2559.48"/>
        <n v="1464.48"/>
        <n v="38044.910000000003"/>
        <n v="429.29"/>
        <n v="2149.38"/>
        <n v="163905.76999999999"/>
        <n v="42.55"/>
        <n v="1941.35"/>
        <n v="1515059.18"/>
        <n v="5448298.7800000003"/>
        <n v="125"/>
        <n v="5862.26"/>
        <n v="55403.69"/>
        <n v="9693.59"/>
        <n v="70551.87"/>
        <n v="1425"/>
        <n v="70"/>
        <n v="80934.320000000007"/>
        <n v="1104962"/>
        <n v="1754913.18"/>
        <n v="499399.51"/>
        <n v="62840.04"/>
        <n v="241976.62"/>
        <n v="712478.08"/>
        <n v="748985.96"/>
        <n v="39062.93"/>
        <n v="32895"/>
        <n v="71042.94"/>
        <n v="88722.67"/>
        <n v="22070.71"/>
        <n v="351734.75"/>
        <n v="2191.7600000000002"/>
        <n v="1146549.69"/>
        <n v="36462.160000000003"/>
        <n v="374462.75"/>
        <n v="177377.48"/>
        <n v="1005139.05"/>
        <n v="650384.1"/>
        <n v="1123390.71"/>
        <n v="-1560"/>
        <n v="515678.3"/>
        <n v="54004.25"/>
        <n v="84237.75"/>
        <n v="1150062.5"/>
        <n v="1812360.69"/>
        <n v="999320.57"/>
        <n v="456953.64"/>
        <n v="4697388.05"/>
        <n v="5833.32"/>
        <n v="56166.35"/>
        <n v="555912.56000000006"/>
        <n v="1799396"/>
        <n v="2399736.84"/>
        <n v="1511790.9"/>
        <n v="1342"/>
        <n v="58329"/>
        <n v="816463"/>
        <n v="109890"/>
        <n v="871682"/>
        <n v="19580"/>
        <n v="103860.12"/>
        <n v="8072"/>
        <n v="23836.66"/>
        <n v="1886261.34"/>
        <n v="116321.33"/>
        <n v="61073.599999999999"/>
        <n v="188437.88"/>
        <n v="26153.32"/>
        <n v="1563021.24"/>
        <n v="307600.7"/>
        <n v="334620.28999999998"/>
        <n v="2870235.57"/>
        <n v="1865847.34"/>
        <n v="115737.7"/>
        <n v="6532.43"/>
        <n v="10318512.51"/>
        <n v="8255396.2999999998"/>
        <n v="1192367.0900000001"/>
        <n v="348548.51"/>
        <n v="917148.15"/>
        <n v="549392.98"/>
        <n v="36216.97"/>
        <n v="2243.0300000000002"/>
        <n v="667461.91"/>
        <n v="206328.27"/>
        <n v="24669.7"/>
        <n v="5637"/>
        <n v="178120.29"/>
        <n v="124855.39"/>
        <n v="2296016.38"/>
        <n v="1956948.95"/>
        <n v="287640.14"/>
        <n v="80101.5"/>
        <n v="577260.6"/>
        <n v="27900"/>
        <n v="98599.09"/>
        <n v="3037426.7"/>
        <n v="491667.8"/>
        <n v="328817.8"/>
        <n v="262164.14"/>
        <n v="623062.59"/>
        <n v="90825.65"/>
        <n v="2390096.11"/>
        <n v="1419.25"/>
        <n v="72630.509999999995"/>
        <n v="25500"/>
        <n v="15089.57"/>
        <n v="10501.85"/>
        <n v="102051.3"/>
        <n v="2612.0100000000002"/>
        <n v="112288.07"/>
        <n v="717717.44"/>
        <n v="458029.18"/>
        <n v="52207.91"/>
        <n v="562965.75"/>
        <n v="607.1"/>
        <n v="230537.76"/>
        <n v="36101.08"/>
        <n v="19200"/>
        <n v="237879.51"/>
        <n v="860521.73"/>
        <n v="35000"/>
        <n v="4414467.68"/>
        <n v="91820"/>
        <n v="334782.83"/>
        <n v="-2.5"/>
        <n v="27389.9"/>
        <n v="850.7"/>
        <n v="53441.64"/>
        <n v="11187.49"/>
        <n v="121858.38"/>
        <n v="4204.95"/>
        <n v="40774.81"/>
        <n v="368407.19"/>
        <n v="288.88"/>
        <n v="180"/>
        <n v="112781.38"/>
        <n v="30338.66"/>
        <n v="37189.120000000003"/>
        <n v="3675"/>
        <n v="247048.2"/>
        <n v="9200"/>
        <n v="250100"/>
        <n v="24500"/>
        <n v="78724.25"/>
        <n v="1800"/>
        <n v="37314.800000000003"/>
        <n v="3484.45"/>
        <n v="28519.98"/>
        <n v="1729234.54"/>
        <n v="2000"/>
        <n v="714060.4"/>
        <n v="9126.92"/>
        <n v="5983.38"/>
        <n v="1142482.3600000001"/>
        <n v="8005202.9900000002"/>
        <n v="7504250.0199999996"/>
        <n v="61.42"/>
        <n v="10674.14"/>
        <n v="71480.89"/>
        <n v="37507.5"/>
        <n v="10320"/>
        <n v="13511715.73"/>
        <n v="463682.86"/>
        <n v="622259.69999999995"/>
        <n v="526376.09"/>
        <n v="27141.96"/>
        <n v="2661198.3199999998"/>
        <n v="45140.160000000003"/>
        <n v="2795"/>
        <n v="65794.86"/>
        <n v="45808.84"/>
        <n v="10151.4"/>
        <n v="555096.25"/>
        <n v="33666.620000000003"/>
        <n v="230757.77"/>
        <n v="336358.38"/>
        <n v="387959.17"/>
        <n v="23954"/>
        <n v="495894"/>
        <n v="7998"/>
        <n v="6728"/>
        <n v="23877"/>
        <n v="732668.45"/>
        <n v="362099"/>
        <n v="710802.36"/>
        <n v="601712.03"/>
        <n v="19707.2"/>
        <n v="26766.39"/>
        <n v="446745.42"/>
        <n v="152663.04000000001"/>
        <n v="10398.75"/>
        <n v="660333.03"/>
        <n v="451733.96"/>
        <n v="744.3"/>
        <n v="4700"/>
        <n v="29687.96"/>
        <n v="110622"/>
        <n v="922.71"/>
        <n v="22867"/>
        <n v="15008.11"/>
        <n v="24886.58"/>
        <n v="287492.92"/>
        <n v="12844.8"/>
        <n v="177289.05"/>
        <n v="37351.1"/>
        <n v="222881.42"/>
        <n v="969185.52"/>
        <n v="9180"/>
        <n v="16800"/>
        <n v="4990"/>
        <n v="2775.6"/>
        <n v="5273.33"/>
        <n v="3752"/>
        <n v="33327.4"/>
        <n v="990"/>
        <n v="619352.64"/>
        <n v="34868"/>
        <n v="16240"/>
        <n v="14250"/>
        <n v="7418653.1699999999"/>
        <n v="958649.45"/>
        <n v="1375361.75"/>
        <n v="1766052.15"/>
        <n v="90185.8"/>
        <n v="497004.94"/>
        <n v="437152.98"/>
        <n v="458090.69"/>
        <n v="19211.05"/>
        <n v="7718988.1699999999"/>
        <n v="3976474.14"/>
        <n v="895334.81"/>
        <n v="289724.69"/>
        <n v="14729"/>
        <n v="164461.5"/>
        <n v="50000"/>
        <n v="680544.99"/>
        <n v="2143.27"/>
        <n v="24254.35"/>
        <n v="547271.25"/>
        <n v="1050645.52"/>
        <n v="4930261.1100000003"/>
        <n v="58551.11"/>
        <n v="2338816.19"/>
        <n v="139241.67000000001"/>
        <n v="9712.27"/>
        <n v="3830168.35"/>
        <n v="77313.119999999995"/>
        <n v="15200"/>
        <n v="296494.21999999997"/>
        <n v="490.93"/>
        <n v="46051.17"/>
        <n v="206647.54"/>
        <n v="1042.7"/>
        <n v="10998.43"/>
        <n v="24608.74"/>
        <n v="1950"/>
        <n v="9540"/>
        <n v="32503.33"/>
        <n v="43746.46"/>
        <n v="2970893.48"/>
        <n v="11760"/>
        <n v="143158.91"/>
        <n v="2800"/>
        <n v="3977.61"/>
        <n v="235163.86"/>
        <n v="4502.76"/>
        <n v="4400"/>
        <n v="3995.5"/>
        <n v="413251.33"/>
        <n v="44906"/>
        <n v="1298678.49"/>
        <n v="468353.19"/>
        <n v="333939.74"/>
        <n v="1920140"/>
        <n v="161091.76"/>
        <n v="-3505.84"/>
        <n v="2020743.69"/>
        <n v="680139.49"/>
        <n v="204045.03"/>
        <n v="614628.76"/>
        <n v="42573.06"/>
        <n v="1060306.93"/>
        <n v="210639.92"/>
        <n v="614562"/>
        <n v="2598102.2400000002"/>
        <n v="87140.3"/>
        <n v="3579.14"/>
        <n v="852.08"/>
        <n v="225178.99"/>
        <n v="367331.5"/>
        <n v="422097.26"/>
        <n v="197438.46"/>
        <n v="223949.18"/>
        <n v="846624.08"/>
        <n v="691440.64000000001"/>
        <m/>
      </sharedItems>
    </cacheField>
    <cacheField name="Pago  (R$)" numFmtId="0">
      <sharedItems containsString="0" containsBlank="1" containsNumber="1" minValue="-1560" maxValue="16798589.969999999" count="360">
        <n v="57822.52"/>
        <n v="653894.89"/>
        <n v="0"/>
        <n v="43619.67"/>
        <n v="10182.02"/>
        <n v="300777.90999999997"/>
        <n v="1071534.3999999999"/>
        <n v="245576.1"/>
        <n v="211647.6"/>
        <n v="500992.52"/>
        <n v="813440.35"/>
        <n v="2290.75"/>
        <n v="49350.6"/>
        <n v="126994.58"/>
        <n v="4636.71"/>
        <n v="31634.81"/>
        <n v="12330"/>
        <n v="8883.7000000000007"/>
        <n v="51167.73"/>
        <n v="261.81"/>
        <n v="1999132.64"/>
        <n v="408590.65"/>
        <n v="67499.47"/>
        <n v="37334.620000000003"/>
        <n v="1163385.22"/>
        <n v="2955831.03"/>
        <n v="3780"/>
        <n v="487877.06"/>
        <n v="272203"/>
        <n v="2145.98"/>
        <n v="29003.919999999998"/>
        <n v="63959.83"/>
        <n v="652982.06999999995"/>
        <n v="985"/>
        <n v="16000"/>
        <n v="45146.879999999997"/>
        <n v="92657.19"/>
        <n v="198688.07"/>
        <n v="6700"/>
        <n v="4655.34"/>
        <n v="1618"/>
        <n v="3979.8"/>
        <n v="320006.76"/>
        <n v="15779.61"/>
        <n v="21408"/>
        <n v="23500"/>
        <n v="1763581.98"/>
        <n v="276042.92"/>
        <n v="239"/>
        <n v="10935.93"/>
        <n v="234834.76"/>
        <n v="368390.9"/>
        <n v="642.5"/>
        <n v="69918.67"/>
        <n v="905816.06"/>
        <n v="47915.34"/>
        <n v="675540"/>
        <n v="1987.92"/>
        <n v="36953.89"/>
        <n v="939.77"/>
        <n v="2559.48"/>
        <n v="1464.48"/>
        <n v="29468.87"/>
        <n v="429.29"/>
        <n v="2149.38"/>
        <n v="170558.49"/>
        <n v="42.55"/>
        <n v="1941.35"/>
        <n v="648916.73"/>
        <n v="5601466.8099999996"/>
        <n v="125"/>
        <n v="5862.26"/>
        <n v="55403.69"/>
        <n v="9693.59"/>
        <n v="70551.87"/>
        <n v="1425"/>
        <n v="-930"/>
        <n v="84035.46"/>
        <n v="1240849.3400000001"/>
        <n v="2080496.57"/>
        <n v="791040.14"/>
        <n v="170592.8"/>
        <n v="181737.61"/>
        <n v="763228.38"/>
        <n v="1437639.42"/>
        <n v="15014.7"/>
        <n v="123353.60000000001"/>
        <n v="109750.09"/>
        <n v="95257.51"/>
        <n v="27421.200000000001"/>
        <n v="22070.71"/>
        <n v="345734.75"/>
        <n v="2191.7600000000002"/>
        <n v="1144457.93"/>
        <n v="36574.160000000003"/>
        <n v="374462.75"/>
        <n v="177377.48"/>
        <n v="1008940.83"/>
        <n v="650384.1"/>
        <n v="1123390.71"/>
        <n v="-1560"/>
        <n v="1471137.9"/>
        <n v="54004.25"/>
        <n v="87465.48"/>
        <n v="1291496.26"/>
        <n v="2151233.19"/>
        <n v="1057384.1599999999"/>
        <n v="533852.94999999995"/>
        <n v="5591841.4100000001"/>
        <n v="118396.83"/>
        <n v="586595.96"/>
        <n v="2244747.4"/>
        <n v="2924257.52"/>
        <n v="1513998.65"/>
        <n v="1342"/>
        <n v="58329"/>
        <n v="816463"/>
        <n v="109890"/>
        <n v="871682"/>
        <n v="19580"/>
        <n v="64647.81"/>
        <n v="8072"/>
        <n v="1938621.34"/>
        <n v="122939.5"/>
        <n v="188437.88"/>
        <n v="3399.88"/>
        <n v="737236.97"/>
        <n v="32509.1"/>
        <n v="357967.05"/>
        <n v="10489"/>
        <n v="2870235.57"/>
        <n v="1865847.34"/>
        <n v="115737.7"/>
        <n v="6532.43"/>
        <n v="10318512.51"/>
        <n v="8255396.2999999998"/>
        <n v="1192367.0900000001"/>
        <n v="348548.51"/>
        <n v="917148.15"/>
        <n v="549392.98"/>
        <n v="36216.97"/>
        <n v="2243.0300000000002"/>
        <n v="667461.91"/>
        <n v="206328.27"/>
        <n v="24669.7"/>
        <n v="5637"/>
        <n v="175531.25"/>
        <n v="145995.4"/>
        <n v="2490972.2599999998"/>
        <n v="2100695.17"/>
        <n v="315580.06"/>
        <n v="82890.080000000002"/>
        <n v="438088"/>
        <n v="98599.09"/>
        <n v="2711243.95"/>
        <n v="434958.89"/>
        <n v="321150.90000000002"/>
        <n v="462642.6"/>
        <n v="623062.59"/>
        <n v="90825.65"/>
        <n v="2390096.11"/>
        <n v="1419.25"/>
        <n v="132888.57"/>
        <n v="15089.57"/>
        <n v="10501.85"/>
        <n v="102595.7"/>
        <n v="3062.01"/>
        <n v="97259.63"/>
        <n v="718717.43"/>
        <n v="968044.28"/>
        <n v="52207.91"/>
        <n v="562965.75"/>
        <n v="724.26"/>
        <n v="4800"/>
        <n v="355654.48"/>
        <n v="36101.08"/>
        <n v="23280"/>
        <n v="148117.32"/>
        <n v="860521.73"/>
        <n v="35000"/>
        <n v="4660806.84"/>
        <n v="59520"/>
        <n v="434782.83"/>
        <n v="297.5"/>
        <n v="57218"/>
        <n v="1511.35"/>
        <n v="60964.160000000003"/>
        <n v="11187.49"/>
        <n v="128608.07"/>
        <n v="4204.95"/>
        <n v="37274.81"/>
        <n v="362087.76"/>
        <n v="180"/>
        <n v="199180.03"/>
        <n v="50390.6"/>
        <n v="37189.120000000003"/>
        <n v="247048.2"/>
        <n v="9200"/>
        <n v="243700"/>
        <n v="24500"/>
        <n v="4325"/>
        <n v="78724.25"/>
        <n v="1800"/>
        <n v="37314.800000000003"/>
        <n v="3173.38"/>
        <n v="1729234.54"/>
        <n v="1486966.35"/>
        <n v="9126.92"/>
        <n v="5483.38"/>
        <n v="419958.24"/>
        <n v="7829342.3200000003"/>
        <n v="7699332.5300000003"/>
        <n v="61.42"/>
        <n v="7889.64"/>
        <n v="193744.21"/>
        <n v="26950.75"/>
        <n v="10320"/>
        <n v="13511715.73"/>
        <n v="466259.48"/>
        <n v="622259.69999999995"/>
        <n v="488422.02"/>
        <n v="27141.96"/>
        <n v="2676466.2000000002"/>
        <n v="45140.160000000003"/>
        <n v="-5"/>
        <n v="69134.210000000006"/>
        <n v="45808.84"/>
        <n v="10151.4"/>
        <n v="534336.57999999996"/>
        <n v="39054.160000000003"/>
        <n v="226072.51"/>
        <n v="339462.81"/>
        <n v="387959.17"/>
        <n v="47827.49"/>
        <n v="495894"/>
        <n v="8358"/>
        <n v="6728"/>
        <n v="34990.559999999998"/>
        <n v="16798589.969999999"/>
        <n v="2278718.67"/>
        <n v="3275.36"/>
        <n v="732668.45"/>
        <n v="362099"/>
        <n v="710802.36"/>
        <n v="601712.03"/>
        <n v="3447.3"/>
        <n v="29125.08"/>
        <n v="50628.63"/>
        <n v="153434.89000000001"/>
        <n v="1056.96"/>
        <n v="3916.65"/>
        <n v="842696.83"/>
        <n v="6939"/>
        <n v="107351.5"/>
        <n v="14100"/>
        <n v="12196.24"/>
        <n v="5737.5"/>
        <n v="633267.1"/>
        <n v="2993.42"/>
        <n v="22317"/>
        <n v="15008.11"/>
        <n v="20928.52"/>
        <n v="287492.92"/>
        <n v="275599.06"/>
        <n v="9432.9"/>
        <n v="254446.37"/>
        <n v="37351.1"/>
        <n v="223574.59"/>
        <n v="978933.26"/>
        <n v="8938"/>
        <n v="31822.799999999999"/>
        <n v="11940"/>
        <n v="3135.6"/>
        <n v="10053.33"/>
        <n v="37363.07"/>
        <n v="623230.28"/>
        <n v="34868"/>
        <n v="12000"/>
        <n v="14250"/>
        <n v="7423106.7000000002"/>
        <n v="958649.45"/>
        <n v="1375361.75"/>
        <n v="1695023.97"/>
        <n v="71680"/>
        <n v="572884.81999999995"/>
        <n v="755098.15"/>
        <n v="571003.34"/>
        <n v="367955.84"/>
        <n v="8145552.0999999996"/>
        <n v="4823298.92"/>
        <n v="904720.03"/>
        <n v="296719.40000000002"/>
        <n v="14751"/>
        <n v="259932.4"/>
        <n v="50000"/>
        <n v="680544.99"/>
        <n v="3705.21"/>
        <n v="31451.39"/>
        <n v="1040562.68"/>
        <n v="1222302.24"/>
        <n v="745596"/>
        <n v="4930261.1100000003"/>
        <n v="332225.09999999998"/>
        <n v="34428.18"/>
        <n v="2338816.19"/>
        <n v="41891.699999999997"/>
        <n v="180851.95"/>
        <n v="2557285.7999999998"/>
        <n v="77313.119999999995"/>
        <n v="189"/>
        <n v="664.55"/>
        <n v="2744.2"/>
        <n v="628.95000000000005"/>
        <n v="82322.600000000006"/>
        <n v="46051.17"/>
        <n v="206647.54"/>
        <n v="1199.7"/>
        <n v="10998.43"/>
        <n v="110287.72"/>
        <n v="1950"/>
        <n v="9540"/>
        <n v="35423.33"/>
        <n v="51950.98"/>
        <n v="5820"/>
        <n v="2970893.48"/>
        <n v="11760"/>
        <n v="143158.91"/>
        <n v="2800"/>
        <n v="2977.61"/>
        <n v="343098.95"/>
        <n v="4502.76"/>
        <n v="4400"/>
        <n v="2995.5"/>
        <n v="562362.63"/>
        <n v="1940"/>
        <n v="1298678.49"/>
        <n v="468353.19"/>
        <n v="333939.74"/>
        <n v="2012216.67"/>
        <n v="176186.74"/>
        <n v="2021885.04"/>
        <n v="585390.31000000006"/>
        <n v="204045.03"/>
        <n v="614628.76"/>
        <n v="42573.06"/>
        <n v="965209.96"/>
        <n v="205576.27"/>
        <n v="614562"/>
        <n v="2598102.2400000002"/>
        <n v="87140.3"/>
        <n v="83457.820000000007"/>
        <n v="70068.84"/>
        <n v="171669.76000000001"/>
        <n v="304426.74"/>
        <n v="422097.26"/>
        <n v="197438.46"/>
        <n v="223949.18"/>
        <n v="846624.08"/>
        <n v="691440.64000000001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4">
  <r>
    <n v="2022"/>
    <n v="7"/>
    <x v="0"/>
    <x v="0"/>
    <x v="0"/>
    <x v="0"/>
    <x v="0"/>
    <x v="0"/>
    <x v="0"/>
    <x v="0"/>
    <x v="0"/>
  </r>
  <r>
    <n v="2022"/>
    <n v="7"/>
    <x v="1"/>
    <x v="1"/>
    <x v="0"/>
    <x v="0"/>
    <x v="0"/>
    <x v="0"/>
    <x v="1"/>
    <x v="1"/>
    <x v="1"/>
  </r>
  <r>
    <n v="2022"/>
    <n v="7"/>
    <x v="2"/>
    <x v="1"/>
    <x v="0"/>
    <x v="0"/>
    <x v="1"/>
    <x v="0"/>
    <x v="2"/>
    <x v="2"/>
    <x v="2"/>
  </r>
  <r>
    <n v="2022"/>
    <n v="7"/>
    <x v="3"/>
    <x v="1"/>
    <x v="0"/>
    <x v="0"/>
    <x v="2"/>
    <x v="0"/>
    <x v="3"/>
    <x v="3"/>
    <x v="3"/>
  </r>
  <r>
    <n v="2022"/>
    <n v="7"/>
    <x v="4"/>
    <x v="1"/>
    <x v="0"/>
    <x v="0"/>
    <x v="3"/>
    <x v="0"/>
    <x v="4"/>
    <x v="4"/>
    <x v="4"/>
  </r>
  <r>
    <n v="2022"/>
    <n v="7"/>
    <x v="5"/>
    <x v="1"/>
    <x v="0"/>
    <x v="0"/>
    <x v="4"/>
    <x v="0"/>
    <x v="5"/>
    <x v="5"/>
    <x v="5"/>
  </r>
  <r>
    <n v="2022"/>
    <n v="7"/>
    <x v="6"/>
    <x v="1"/>
    <x v="0"/>
    <x v="0"/>
    <x v="4"/>
    <x v="0"/>
    <x v="6"/>
    <x v="6"/>
    <x v="6"/>
  </r>
  <r>
    <n v="2022"/>
    <n v="7"/>
    <x v="7"/>
    <x v="1"/>
    <x v="0"/>
    <x v="0"/>
    <x v="4"/>
    <x v="0"/>
    <x v="4"/>
    <x v="7"/>
    <x v="7"/>
  </r>
  <r>
    <n v="2022"/>
    <n v="7"/>
    <x v="8"/>
    <x v="1"/>
    <x v="1"/>
    <x v="1"/>
    <x v="4"/>
    <x v="0"/>
    <x v="7"/>
    <x v="8"/>
    <x v="8"/>
  </r>
  <r>
    <n v="2022"/>
    <n v="7"/>
    <x v="9"/>
    <x v="1"/>
    <x v="1"/>
    <x v="1"/>
    <x v="5"/>
    <x v="0"/>
    <x v="8"/>
    <x v="9"/>
    <x v="9"/>
  </r>
  <r>
    <n v="2022"/>
    <n v="7"/>
    <x v="10"/>
    <x v="1"/>
    <x v="0"/>
    <x v="0"/>
    <x v="6"/>
    <x v="0"/>
    <x v="9"/>
    <x v="2"/>
    <x v="2"/>
  </r>
  <r>
    <n v="2022"/>
    <n v="7"/>
    <x v="11"/>
    <x v="2"/>
    <x v="0"/>
    <x v="0"/>
    <x v="0"/>
    <x v="0"/>
    <x v="10"/>
    <x v="10"/>
    <x v="10"/>
  </r>
  <r>
    <n v="2022"/>
    <n v="7"/>
    <x v="12"/>
    <x v="2"/>
    <x v="0"/>
    <x v="0"/>
    <x v="2"/>
    <x v="0"/>
    <x v="4"/>
    <x v="11"/>
    <x v="11"/>
  </r>
  <r>
    <n v="2022"/>
    <n v="7"/>
    <x v="13"/>
    <x v="2"/>
    <x v="2"/>
    <x v="2"/>
    <x v="2"/>
    <x v="1"/>
    <x v="4"/>
    <x v="2"/>
    <x v="12"/>
  </r>
  <r>
    <n v="2022"/>
    <n v="7"/>
    <x v="14"/>
    <x v="2"/>
    <x v="0"/>
    <x v="0"/>
    <x v="3"/>
    <x v="0"/>
    <x v="11"/>
    <x v="12"/>
    <x v="13"/>
  </r>
  <r>
    <n v="2022"/>
    <n v="7"/>
    <x v="15"/>
    <x v="2"/>
    <x v="2"/>
    <x v="2"/>
    <x v="3"/>
    <x v="2"/>
    <x v="4"/>
    <x v="13"/>
    <x v="14"/>
  </r>
  <r>
    <n v="2022"/>
    <n v="7"/>
    <x v="16"/>
    <x v="2"/>
    <x v="0"/>
    <x v="0"/>
    <x v="4"/>
    <x v="0"/>
    <x v="12"/>
    <x v="14"/>
    <x v="15"/>
  </r>
  <r>
    <n v="2022"/>
    <n v="7"/>
    <x v="17"/>
    <x v="2"/>
    <x v="2"/>
    <x v="2"/>
    <x v="4"/>
    <x v="2"/>
    <x v="13"/>
    <x v="15"/>
    <x v="16"/>
  </r>
  <r>
    <n v="2022"/>
    <n v="7"/>
    <x v="18"/>
    <x v="2"/>
    <x v="2"/>
    <x v="2"/>
    <x v="4"/>
    <x v="1"/>
    <x v="14"/>
    <x v="2"/>
    <x v="17"/>
  </r>
  <r>
    <n v="2022"/>
    <n v="7"/>
    <x v="19"/>
    <x v="2"/>
    <x v="2"/>
    <x v="2"/>
    <x v="7"/>
    <x v="0"/>
    <x v="4"/>
    <x v="16"/>
    <x v="18"/>
  </r>
  <r>
    <n v="2022"/>
    <n v="7"/>
    <x v="20"/>
    <x v="2"/>
    <x v="0"/>
    <x v="0"/>
    <x v="8"/>
    <x v="0"/>
    <x v="15"/>
    <x v="17"/>
    <x v="19"/>
  </r>
  <r>
    <n v="2022"/>
    <n v="7"/>
    <x v="21"/>
    <x v="3"/>
    <x v="0"/>
    <x v="0"/>
    <x v="0"/>
    <x v="0"/>
    <x v="16"/>
    <x v="18"/>
    <x v="20"/>
  </r>
  <r>
    <n v="2022"/>
    <n v="7"/>
    <x v="22"/>
    <x v="3"/>
    <x v="0"/>
    <x v="0"/>
    <x v="2"/>
    <x v="0"/>
    <x v="17"/>
    <x v="19"/>
    <x v="21"/>
  </r>
  <r>
    <n v="2022"/>
    <n v="7"/>
    <x v="23"/>
    <x v="3"/>
    <x v="0"/>
    <x v="0"/>
    <x v="3"/>
    <x v="0"/>
    <x v="18"/>
    <x v="20"/>
    <x v="22"/>
  </r>
  <r>
    <n v="2022"/>
    <n v="7"/>
    <x v="24"/>
    <x v="3"/>
    <x v="0"/>
    <x v="0"/>
    <x v="4"/>
    <x v="0"/>
    <x v="19"/>
    <x v="21"/>
    <x v="23"/>
  </r>
  <r>
    <n v="2022"/>
    <n v="7"/>
    <x v="25"/>
    <x v="3"/>
    <x v="0"/>
    <x v="0"/>
    <x v="4"/>
    <x v="0"/>
    <x v="20"/>
    <x v="22"/>
    <x v="24"/>
  </r>
  <r>
    <n v="2022"/>
    <n v="7"/>
    <x v="26"/>
    <x v="3"/>
    <x v="0"/>
    <x v="0"/>
    <x v="7"/>
    <x v="0"/>
    <x v="21"/>
    <x v="23"/>
    <x v="25"/>
  </r>
  <r>
    <n v="2022"/>
    <n v="7"/>
    <x v="27"/>
    <x v="3"/>
    <x v="0"/>
    <x v="0"/>
    <x v="8"/>
    <x v="0"/>
    <x v="22"/>
    <x v="2"/>
    <x v="2"/>
  </r>
  <r>
    <n v="2022"/>
    <n v="7"/>
    <x v="28"/>
    <x v="3"/>
    <x v="0"/>
    <x v="0"/>
    <x v="6"/>
    <x v="0"/>
    <x v="4"/>
    <x v="24"/>
    <x v="26"/>
  </r>
  <r>
    <n v="2022"/>
    <n v="7"/>
    <x v="29"/>
    <x v="4"/>
    <x v="3"/>
    <x v="3"/>
    <x v="0"/>
    <x v="0"/>
    <x v="23"/>
    <x v="25"/>
    <x v="27"/>
  </r>
  <r>
    <n v="2022"/>
    <n v="7"/>
    <x v="30"/>
    <x v="4"/>
    <x v="4"/>
    <x v="4"/>
    <x v="9"/>
    <x v="3"/>
    <x v="24"/>
    <x v="2"/>
    <x v="2"/>
  </r>
  <r>
    <n v="2022"/>
    <n v="7"/>
    <x v="31"/>
    <x v="4"/>
    <x v="3"/>
    <x v="3"/>
    <x v="10"/>
    <x v="0"/>
    <x v="4"/>
    <x v="2"/>
    <x v="28"/>
  </r>
  <r>
    <n v="2022"/>
    <n v="7"/>
    <x v="32"/>
    <x v="4"/>
    <x v="3"/>
    <x v="3"/>
    <x v="2"/>
    <x v="0"/>
    <x v="25"/>
    <x v="26"/>
    <x v="29"/>
  </r>
  <r>
    <n v="2022"/>
    <n v="7"/>
    <x v="33"/>
    <x v="4"/>
    <x v="3"/>
    <x v="3"/>
    <x v="3"/>
    <x v="0"/>
    <x v="26"/>
    <x v="27"/>
    <x v="30"/>
  </r>
  <r>
    <n v="2022"/>
    <n v="7"/>
    <x v="34"/>
    <x v="4"/>
    <x v="3"/>
    <x v="3"/>
    <x v="4"/>
    <x v="0"/>
    <x v="27"/>
    <x v="28"/>
    <x v="31"/>
  </r>
  <r>
    <n v="2022"/>
    <n v="7"/>
    <x v="35"/>
    <x v="4"/>
    <x v="3"/>
    <x v="3"/>
    <x v="4"/>
    <x v="0"/>
    <x v="4"/>
    <x v="29"/>
    <x v="32"/>
  </r>
  <r>
    <n v="2022"/>
    <n v="7"/>
    <x v="36"/>
    <x v="4"/>
    <x v="3"/>
    <x v="3"/>
    <x v="4"/>
    <x v="2"/>
    <x v="4"/>
    <x v="30"/>
    <x v="2"/>
  </r>
  <r>
    <n v="2022"/>
    <n v="7"/>
    <x v="37"/>
    <x v="4"/>
    <x v="4"/>
    <x v="4"/>
    <x v="4"/>
    <x v="2"/>
    <x v="28"/>
    <x v="31"/>
    <x v="33"/>
  </r>
  <r>
    <n v="2022"/>
    <n v="7"/>
    <x v="38"/>
    <x v="4"/>
    <x v="4"/>
    <x v="4"/>
    <x v="4"/>
    <x v="2"/>
    <x v="4"/>
    <x v="32"/>
    <x v="34"/>
  </r>
  <r>
    <n v="2022"/>
    <n v="7"/>
    <x v="39"/>
    <x v="4"/>
    <x v="4"/>
    <x v="4"/>
    <x v="4"/>
    <x v="4"/>
    <x v="4"/>
    <x v="2"/>
    <x v="35"/>
  </r>
  <r>
    <n v="2022"/>
    <n v="7"/>
    <x v="40"/>
    <x v="4"/>
    <x v="4"/>
    <x v="4"/>
    <x v="4"/>
    <x v="3"/>
    <x v="29"/>
    <x v="33"/>
    <x v="36"/>
  </r>
  <r>
    <n v="2022"/>
    <n v="7"/>
    <x v="41"/>
    <x v="4"/>
    <x v="4"/>
    <x v="4"/>
    <x v="4"/>
    <x v="3"/>
    <x v="4"/>
    <x v="34"/>
    <x v="2"/>
  </r>
  <r>
    <n v="2022"/>
    <n v="7"/>
    <x v="42"/>
    <x v="4"/>
    <x v="4"/>
    <x v="4"/>
    <x v="4"/>
    <x v="5"/>
    <x v="4"/>
    <x v="2"/>
    <x v="37"/>
  </r>
  <r>
    <n v="2022"/>
    <n v="7"/>
    <x v="43"/>
    <x v="4"/>
    <x v="4"/>
    <x v="4"/>
    <x v="4"/>
    <x v="6"/>
    <x v="4"/>
    <x v="35"/>
    <x v="38"/>
  </r>
  <r>
    <n v="2022"/>
    <n v="7"/>
    <x v="44"/>
    <x v="4"/>
    <x v="4"/>
    <x v="4"/>
    <x v="8"/>
    <x v="5"/>
    <x v="4"/>
    <x v="2"/>
    <x v="39"/>
  </r>
  <r>
    <n v="2022"/>
    <n v="7"/>
    <x v="45"/>
    <x v="4"/>
    <x v="3"/>
    <x v="3"/>
    <x v="6"/>
    <x v="0"/>
    <x v="30"/>
    <x v="2"/>
    <x v="40"/>
  </r>
  <r>
    <n v="2022"/>
    <n v="7"/>
    <x v="46"/>
    <x v="4"/>
    <x v="4"/>
    <x v="4"/>
    <x v="6"/>
    <x v="2"/>
    <x v="4"/>
    <x v="2"/>
    <x v="41"/>
  </r>
  <r>
    <n v="2022"/>
    <n v="7"/>
    <x v="47"/>
    <x v="5"/>
    <x v="3"/>
    <x v="5"/>
    <x v="0"/>
    <x v="0"/>
    <x v="31"/>
    <x v="36"/>
    <x v="42"/>
  </r>
  <r>
    <n v="2022"/>
    <n v="7"/>
    <x v="48"/>
    <x v="5"/>
    <x v="3"/>
    <x v="5"/>
    <x v="2"/>
    <x v="0"/>
    <x v="4"/>
    <x v="37"/>
    <x v="2"/>
  </r>
  <r>
    <n v="2022"/>
    <n v="7"/>
    <x v="49"/>
    <x v="5"/>
    <x v="3"/>
    <x v="5"/>
    <x v="3"/>
    <x v="0"/>
    <x v="32"/>
    <x v="38"/>
    <x v="43"/>
  </r>
  <r>
    <n v="2022"/>
    <n v="7"/>
    <x v="50"/>
    <x v="5"/>
    <x v="3"/>
    <x v="5"/>
    <x v="4"/>
    <x v="2"/>
    <x v="33"/>
    <x v="39"/>
    <x v="44"/>
  </r>
  <r>
    <n v="2022"/>
    <n v="7"/>
    <x v="51"/>
    <x v="5"/>
    <x v="3"/>
    <x v="5"/>
    <x v="4"/>
    <x v="4"/>
    <x v="4"/>
    <x v="2"/>
    <x v="45"/>
  </r>
  <r>
    <n v="2022"/>
    <n v="7"/>
    <x v="52"/>
    <x v="5"/>
    <x v="3"/>
    <x v="5"/>
    <x v="4"/>
    <x v="0"/>
    <x v="34"/>
    <x v="40"/>
    <x v="46"/>
  </r>
  <r>
    <n v="2022"/>
    <n v="7"/>
    <x v="53"/>
    <x v="5"/>
    <x v="5"/>
    <x v="5"/>
    <x v="4"/>
    <x v="0"/>
    <x v="4"/>
    <x v="2"/>
    <x v="47"/>
  </r>
  <r>
    <n v="2022"/>
    <n v="7"/>
    <x v="54"/>
    <x v="5"/>
    <x v="3"/>
    <x v="5"/>
    <x v="7"/>
    <x v="0"/>
    <x v="4"/>
    <x v="41"/>
    <x v="48"/>
  </r>
  <r>
    <n v="2022"/>
    <n v="7"/>
    <x v="55"/>
    <x v="5"/>
    <x v="3"/>
    <x v="5"/>
    <x v="5"/>
    <x v="0"/>
    <x v="4"/>
    <x v="2"/>
    <x v="49"/>
  </r>
  <r>
    <n v="2022"/>
    <n v="7"/>
    <x v="56"/>
    <x v="5"/>
    <x v="3"/>
    <x v="5"/>
    <x v="11"/>
    <x v="0"/>
    <x v="35"/>
    <x v="42"/>
    <x v="50"/>
  </r>
  <r>
    <n v="2022"/>
    <n v="7"/>
    <x v="57"/>
    <x v="5"/>
    <x v="3"/>
    <x v="5"/>
    <x v="11"/>
    <x v="0"/>
    <x v="36"/>
    <x v="43"/>
    <x v="51"/>
  </r>
  <r>
    <n v="2022"/>
    <n v="7"/>
    <x v="58"/>
    <x v="5"/>
    <x v="3"/>
    <x v="5"/>
    <x v="11"/>
    <x v="0"/>
    <x v="37"/>
    <x v="44"/>
    <x v="52"/>
  </r>
  <r>
    <n v="2022"/>
    <n v="7"/>
    <x v="59"/>
    <x v="5"/>
    <x v="3"/>
    <x v="5"/>
    <x v="11"/>
    <x v="4"/>
    <x v="4"/>
    <x v="45"/>
    <x v="53"/>
  </r>
  <r>
    <n v="2022"/>
    <n v="7"/>
    <x v="60"/>
    <x v="5"/>
    <x v="5"/>
    <x v="5"/>
    <x v="11"/>
    <x v="0"/>
    <x v="38"/>
    <x v="46"/>
    <x v="54"/>
  </r>
  <r>
    <n v="2022"/>
    <n v="7"/>
    <x v="61"/>
    <x v="5"/>
    <x v="3"/>
    <x v="5"/>
    <x v="6"/>
    <x v="0"/>
    <x v="4"/>
    <x v="47"/>
    <x v="2"/>
  </r>
  <r>
    <n v="2022"/>
    <n v="7"/>
    <x v="62"/>
    <x v="6"/>
    <x v="6"/>
    <x v="0"/>
    <x v="0"/>
    <x v="0"/>
    <x v="39"/>
    <x v="48"/>
    <x v="55"/>
  </r>
  <r>
    <n v="2022"/>
    <n v="7"/>
    <x v="63"/>
    <x v="6"/>
    <x v="6"/>
    <x v="6"/>
    <x v="0"/>
    <x v="0"/>
    <x v="40"/>
    <x v="49"/>
    <x v="56"/>
  </r>
  <r>
    <n v="2022"/>
    <n v="7"/>
    <x v="64"/>
    <x v="6"/>
    <x v="6"/>
    <x v="0"/>
    <x v="12"/>
    <x v="0"/>
    <x v="41"/>
    <x v="50"/>
    <x v="57"/>
  </r>
  <r>
    <n v="2022"/>
    <n v="7"/>
    <x v="65"/>
    <x v="6"/>
    <x v="6"/>
    <x v="6"/>
    <x v="12"/>
    <x v="0"/>
    <x v="42"/>
    <x v="51"/>
    <x v="58"/>
  </r>
  <r>
    <n v="2022"/>
    <n v="7"/>
    <x v="66"/>
    <x v="6"/>
    <x v="6"/>
    <x v="6"/>
    <x v="12"/>
    <x v="0"/>
    <x v="43"/>
    <x v="52"/>
    <x v="59"/>
  </r>
  <r>
    <n v="2022"/>
    <n v="7"/>
    <x v="67"/>
    <x v="6"/>
    <x v="6"/>
    <x v="7"/>
    <x v="12"/>
    <x v="0"/>
    <x v="44"/>
    <x v="53"/>
    <x v="60"/>
  </r>
  <r>
    <n v="2022"/>
    <n v="7"/>
    <x v="68"/>
    <x v="6"/>
    <x v="6"/>
    <x v="6"/>
    <x v="13"/>
    <x v="0"/>
    <x v="45"/>
    <x v="54"/>
    <x v="61"/>
  </r>
  <r>
    <n v="2022"/>
    <n v="7"/>
    <x v="69"/>
    <x v="6"/>
    <x v="6"/>
    <x v="6"/>
    <x v="14"/>
    <x v="0"/>
    <x v="46"/>
    <x v="55"/>
    <x v="62"/>
  </r>
  <r>
    <n v="2022"/>
    <n v="7"/>
    <x v="70"/>
    <x v="6"/>
    <x v="6"/>
    <x v="7"/>
    <x v="14"/>
    <x v="0"/>
    <x v="47"/>
    <x v="56"/>
    <x v="63"/>
  </r>
  <r>
    <n v="2022"/>
    <n v="7"/>
    <x v="71"/>
    <x v="6"/>
    <x v="6"/>
    <x v="0"/>
    <x v="12"/>
    <x v="0"/>
    <x v="48"/>
    <x v="57"/>
    <x v="64"/>
  </r>
  <r>
    <n v="2022"/>
    <n v="7"/>
    <x v="72"/>
    <x v="6"/>
    <x v="6"/>
    <x v="6"/>
    <x v="12"/>
    <x v="0"/>
    <x v="49"/>
    <x v="58"/>
    <x v="65"/>
  </r>
  <r>
    <n v="2022"/>
    <n v="7"/>
    <x v="73"/>
    <x v="6"/>
    <x v="6"/>
    <x v="7"/>
    <x v="12"/>
    <x v="0"/>
    <x v="50"/>
    <x v="59"/>
    <x v="66"/>
  </r>
  <r>
    <n v="2022"/>
    <n v="7"/>
    <x v="74"/>
    <x v="6"/>
    <x v="6"/>
    <x v="7"/>
    <x v="12"/>
    <x v="0"/>
    <x v="51"/>
    <x v="60"/>
    <x v="67"/>
  </r>
  <r>
    <n v="2022"/>
    <n v="7"/>
    <x v="75"/>
    <x v="6"/>
    <x v="6"/>
    <x v="6"/>
    <x v="9"/>
    <x v="0"/>
    <x v="52"/>
    <x v="61"/>
    <x v="68"/>
  </r>
  <r>
    <n v="2022"/>
    <n v="7"/>
    <x v="76"/>
    <x v="6"/>
    <x v="6"/>
    <x v="8"/>
    <x v="9"/>
    <x v="0"/>
    <x v="53"/>
    <x v="2"/>
    <x v="2"/>
  </r>
  <r>
    <n v="2022"/>
    <n v="7"/>
    <x v="77"/>
    <x v="6"/>
    <x v="6"/>
    <x v="7"/>
    <x v="15"/>
    <x v="0"/>
    <x v="54"/>
    <x v="62"/>
    <x v="69"/>
  </r>
  <r>
    <n v="2022"/>
    <n v="7"/>
    <x v="78"/>
    <x v="6"/>
    <x v="6"/>
    <x v="0"/>
    <x v="16"/>
    <x v="0"/>
    <x v="55"/>
    <x v="63"/>
    <x v="70"/>
  </r>
  <r>
    <n v="2022"/>
    <n v="7"/>
    <x v="79"/>
    <x v="6"/>
    <x v="6"/>
    <x v="6"/>
    <x v="16"/>
    <x v="0"/>
    <x v="56"/>
    <x v="64"/>
    <x v="71"/>
  </r>
  <r>
    <n v="2022"/>
    <n v="7"/>
    <x v="80"/>
    <x v="6"/>
    <x v="6"/>
    <x v="6"/>
    <x v="16"/>
    <x v="0"/>
    <x v="57"/>
    <x v="65"/>
    <x v="72"/>
  </r>
  <r>
    <n v="2022"/>
    <n v="7"/>
    <x v="81"/>
    <x v="6"/>
    <x v="6"/>
    <x v="7"/>
    <x v="16"/>
    <x v="0"/>
    <x v="58"/>
    <x v="66"/>
    <x v="73"/>
  </r>
  <r>
    <n v="2022"/>
    <n v="7"/>
    <x v="82"/>
    <x v="6"/>
    <x v="6"/>
    <x v="7"/>
    <x v="16"/>
    <x v="0"/>
    <x v="59"/>
    <x v="67"/>
    <x v="74"/>
  </r>
  <r>
    <n v="2022"/>
    <n v="7"/>
    <x v="83"/>
    <x v="6"/>
    <x v="6"/>
    <x v="8"/>
    <x v="16"/>
    <x v="0"/>
    <x v="60"/>
    <x v="68"/>
    <x v="75"/>
  </r>
  <r>
    <n v="2022"/>
    <n v="7"/>
    <x v="84"/>
    <x v="6"/>
    <x v="6"/>
    <x v="6"/>
    <x v="17"/>
    <x v="0"/>
    <x v="61"/>
    <x v="69"/>
    <x v="76"/>
  </r>
  <r>
    <n v="2022"/>
    <n v="7"/>
    <x v="85"/>
    <x v="6"/>
    <x v="6"/>
    <x v="9"/>
    <x v="2"/>
    <x v="4"/>
    <x v="4"/>
    <x v="70"/>
    <x v="77"/>
  </r>
  <r>
    <n v="2022"/>
    <n v="7"/>
    <x v="86"/>
    <x v="6"/>
    <x v="6"/>
    <x v="9"/>
    <x v="2"/>
    <x v="4"/>
    <x v="4"/>
    <x v="71"/>
    <x v="78"/>
  </r>
  <r>
    <n v="2022"/>
    <n v="7"/>
    <x v="87"/>
    <x v="6"/>
    <x v="6"/>
    <x v="9"/>
    <x v="2"/>
    <x v="4"/>
    <x v="4"/>
    <x v="72"/>
    <x v="79"/>
  </r>
  <r>
    <n v="2022"/>
    <n v="7"/>
    <x v="88"/>
    <x v="6"/>
    <x v="6"/>
    <x v="9"/>
    <x v="2"/>
    <x v="4"/>
    <x v="62"/>
    <x v="73"/>
    <x v="80"/>
  </r>
  <r>
    <n v="2022"/>
    <n v="7"/>
    <x v="89"/>
    <x v="6"/>
    <x v="6"/>
    <x v="9"/>
    <x v="2"/>
    <x v="4"/>
    <x v="63"/>
    <x v="74"/>
    <x v="81"/>
  </r>
  <r>
    <n v="2022"/>
    <n v="7"/>
    <x v="90"/>
    <x v="6"/>
    <x v="6"/>
    <x v="9"/>
    <x v="2"/>
    <x v="5"/>
    <x v="64"/>
    <x v="75"/>
    <x v="82"/>
  </r>
  <r>
    <n v="2022"/>
    <n v="7"/>
    <x v="91"/>
    <x v="6"/>
    <x v="6"/>
    <x v="6"/>
    <x v="2"/>
    <x v="0"/>
    <x v="65"/>
    <x v="76"/>
    <x v="83"/>
  </r>
  <r>
    <n v="2022"/>
    <n v="7"/>
    <x v="92"/>
    <x v="6"/>
    <x v="6"/>
    <x v="6"/>
    <x v="2"/>
    <x v="0"/>
    <x v="66"/>
    <x v="77"/>
    <x v="84"/>
  </r>
  <r>
    <n v="2022"/>
    <n v="7"/>
    <x v="93"/>
    <x v="6"/>
    <x v="6"/>
    <x v="6"/>
    <x v="2"/>
    <x v="4"/>
    <x v="67"/>
    <x v="78"/>
    <x v="85"/>
  </r>
  <r>
    <n v="2022"/>
    <n v="7"/>
    <x v="94"/>
    <x v="6"/>
    <x v="6"/>
    <x v="7"/>
    <x v="2"/>
    <x v="0"/>
    <x v="68"/>
    <x v="79"/>
    <x v="86"/>
  </r>
  <r>
    <n v="2022"/>
    <n v="7"/>
    <x v="95"/>
    <x v="6"/>
    <x v="6"/>
    <x v="7"/>
    <x v="2"/>
    <x v="0"/>
    <x v="69"/>
    <x v="80"/>
    <x v="87"/>
  </r>
  <r>
    <n v="2022"/>
    <n v="7"/>
    <x v="96"/>
    <x v="6"/>
    <x v="6"/>
    <x v="7"/>
    <x v="2"/>
    <x v="4"/>
    <x v="70"/>
    <x v="81"/>
    <x v="88"/>
  </r>
  <r>
    <n v="2022"/>
    <n v="7"/>
    <x v="97"/>
    <x v="6"/>
    <x v="6"/>
    <x v="7"/>
    <x v="2"/>
    <x v="4"/>
    <x v="4"/>
    <x v="2"/>
    <x v="89"/>
  </r>
  <r>
    <n v="2022"/>
    <n v="7"/>
    <x v="98"/>
    <x v="6"/>
    <x v="6"/>
    <x v="8"/>
    <x v="2"/>
    <x v="0"/>
    <x v="71"/>
    <x v="2"/>
    <x v="2"/>
  </r>
  <r>
    <n v="2022"/>
    <n v="7"/>
    <x v="99"/>
    <x v="6"/>
    <x v="6"/>
    <x v="6"/>
    <x v="3"/>
    <x v="0"/>
    <x v="72"/>
    <x v="82"/>
    <x v="90"/>
  </r>
  <r>
    <n v="2022"/>
    <n v="7"/>
    <x v="100"/>
    <x v="6"/>
    <x v="6"/>
    <x v="6"/>
    <x v="3"/>
    <x v="0"/>
    <x v="73"/>
    <x v="83"/>
    <x v="91"/>
  </r>
  <r>
    <n v="2022"/>
    <n v="7"/>
    <x v="101"/>
    <x v="6"/>
    <x v="6"/>
    <x v="6"/>
    <x v="3"/>
    <x v="0"/>
    <x v="74"/>
    <x v="84"/>
    <x v="92"/>
  </r>
  <r>
    <n v="2022"/>
    <n v="7"/>
    <x v="102"/>
    <x v="6"/>
    <x v="6"/>
    <x v="6"/>
    <x v="3"/>
    <x v="7"/>
    <x v="75"/>
    <x v="85"/>
    <x v="93"/>
  </r>
  <r>
    <n v="2022"/>
    <n v="7"/>
    <x v="103"/>
    <x v="6"/>
    <x v="6"/>
    <x v="7"/>
    <x v="3"/>
    <x v="0"/>
    <x v="76"/>
    <x v="86"/>
    <x v="94"/>
  </r>
  <r>
    <n v="2022"/>
    <n v="7"/>
    <x v="104"/>
    <x v="6"/>
    <x v="6"/>
    <x v="7"/>
    <x v="3"/>
    <x v="0"/>
    <x v="77"/>
    <x v="87"/>
    <x v="95"/>
  </r>
  <r>
    <n v="2022"/>
    <n v="7"/>
    <x v="105"/>
    <x v="6"/>
    <x v="6"/>
    <x v="6"/>
    <x v="18"/>
    <x v="0"/>
    <x v="4"/>
    <x v="88"/>
    <x v="96"/>
  </r>
  <r>
    <n v="2022"/>
    <n v="7"/>
    <x v="106"/>
    <x v="6"/>
    <x v="6"/>
    <x v="6"/>
    <x v="18"/>
    <x v="0"/>
    <x v="4"/>
    <x v="89"/>
    <x v="97"/>
  </r>
  <r>
    <n v="2022"/>
    <n v="7"/>
    <x v="107"/>
    <x v="6"/>
    <x v="6"/>
    <x v="7"/>
    <x v="18"/>
    <x v="0"/>
    <x v="4"/>
    <x v="90"/>
    <x v="98"/>
  </r>
  <r>
    <n v="2022"/>
    <n v="7"/>
    <x v="108"/>
    <x v="6"/>
    <x v="6"/>
    <x v="7"/>
    <x v="18"/>
    <x v="0"/>
    <x v="4"/>
    <x v="91"/>
    <x v="99"/>
  </r>
  <r>
    <n v="2022"/>
    <n v="7"/>
    <x v="109"/>
    <x v="6"/>
    <x v="0"/>
    <x v="0"/>
    <x v="4"/>
    <x v="0"/>
    <x v="78"/>
    <x v="92"/>
    <x v="100"/>
  </r>
  <r>
    <n v="2022"/>
    <n v="7"/>
    <x v="110"/>
    <x v="6"/>
    <x v="0"/>
    <x v="0"/>
    <x v="4"/>
    <x v="0"/>
    <x v="79"/>
    <x v="93"/>
    <x v="101"/>
  </r>
  <r>
    <n v="2022"/>
    <n v="7"/>
    <x v="111"/>
    <x v="6"/>
    <x v="6"/>
    <x v="0"/>
    <x v="4"/>
    <x v="0"/>
    <x v="4"/>
    <x v="94"/>
    <x v="102"/>
  </r>
  <r>
    <n v="2022"/>
    <n v="7"/>
    <x v="112"/>
    <x v="6"/>
    <x v="6"/>
    <x v="9"/>
    <x v="4"/>
    <x v="4"/>
    <x v="4"/>
    <x v="95"/>
    <x v="103"/>
  </r>
  <r>
    <n v="2022"/>
    <n v="7"/>
    <x v="113"/>
    <x v="6"/>
    <x v="6"/>
    <x v="9"/>
    <x v="4"/>
    <x v="4"/>
    <x v="4"/>
    <x v="96"/>
    <x v="104"/>
  </r>
  <r>
    <n v="2022"/>
    <n v="7"/>
    <x v="114"/>
    <x v="6"/>
    <x v="6"/>
    <x v="9"/>
    <x v="4"/>
    <x v="4"/>
    <x v="4"/>
    <x v="97"/>
    <x v="105"/>
  </r>
  <r>
    <n v="2022"/>
    <n v="7"/>
    <x v="115"/>
    <x v="6"/>
    <x v="6"/>
    <x v="6"/>
    <x v="4"/>
    <x v="0"/>
    <x v="80"/>
    <x v="98"/>
    <x v="106"/>
  </r>
  <r>
    <n v="2022"/>
    <n v="7"/>
    <x v="116"/>
    <x v="6"/>
    <x v="6"/>
    <x v="6"/>
    <x v="4"/>
    <x v="0"/>
    <x v="81"/>
    <x v="99"/>
    <x v="107"/>
  </r>
  <r>
    <n v="2022"/>
    <n v="7"/>
    <x v="117"/>
    <x v="6"/>
    <x v="6"/>
    <x v="6"/>
    <x v="4"/>
    <x v="0"/>
    <x v="82"/>
    <x v="100"/>
    <x v="108"/>
  </r>
  <r>
    <n v="2022"/>
    <n v="7"/>
    <x v="118"/>
    <x v="6"/>
    <x v="6"/>
    <x v="6"/>
    <x v="4"/>
    <x v="4"/>
    <x v="83"/>
    <x v="101"/>
    <x v="2"/>
  </r>
  <r>
    <n v="2022"/>
    <n v="7"/>
    <x v="119"/>
    <x v="6"/>
    <x v="6"/>
    <x v="6"/>
    <x v="4"/>
    <x v="0"/>
    <x v="84"/>
    <x v="102"/>
    <x v="109"/>
  </r>
  <r>
    <n v="2022"/>
    <n v="7"/>
    <x v="120"/>
    <x v="6"/>
    <x v="6"/>
    <x v="6"/>
    <x v="4"/>
    <x v="7"/>
    <x v="85"/>
    <x v="103"/>
    <x v="110"/>
  </r>
  <r>
    <n v="2022"/>
    <n v="7"/>
    <x v="121"/>
    <x v="6"/>
    <x v="6"/>
    <x v="7"/>
    <x v="4"/>
    <x v="0"/>
    <x v="86"/>
    <x v="104"/>
    <x v="111"/>
  </r>
  <r>
    <n v="2022"/>
    <n v="7"/>
    <x v="122"/>
    <x v="6"/>
    <x v="6"/>
    <x v="7"/>
    <x v="4"/>
    <x v="0"/>
    <x v="87"/>
    <x v="105"/>
    <x v="112"/>
  </r>
  <r>
    <n v="2022"/>
    <n v="7"/>
    <x v="123"/>
    <x v="6"/>
    <x v="6"/>
    <x v="6"/>
    <x v="7"/>
    <x v="0"/>
    <x v="88"/>
    <x v="106"/>
    <x v="113"/>
  </r>
  <r>
    <n v="2022"/>
    <n v="7"/>
    <x v="124"/>
    <x v="6"/>
    <x v="6"/>
    <x v="0"/>
    <x v="19"/>
    <x v="0"/>
    <x v="89"/>
    <x v="107"/>
    <x v="114"/>
  </r>
  <r>
    <n v="2022"/>
    <n v="7"/>
    <x v="125"/>
    <x v="6"/>
    <x v="6"/>
    <x v="6"/>
    <x v="19"/>
    <x v="0"/>
    <x v="90"/>
    <x v="108"/>
    <x v="115"/>
  </r>
  <r>
    <n v="2022"/>
    <n v="7"/>
    <x v="126"/>
    <x v="6"/>
    <x v="6"/>
    <x v="6"/>
    <x v="19"/>
    <x v="0"/>
    <x v="91"/>
    <x v="109"/>
    <x v="116"/>
  </r>
  <r>
    <n v="2022"/>
    <n v="7"/>
    <x v="127"/>
    <x v="6"/>
    <x v="6"/>
    <x v="7"/>
    <x v="19"/>
    <x v="0"/>
    <x v="92"/>
    <x v="110"/>
    <x v="117"/>
  </r>
  <r>
    <n v="2022"/>
    <n v="7"/>
    <x v="128"/>
    <x v="6"/>
    <x v="6"/>
    <x v="7"/>
    <x v="19"/>
    <x v="0"/>
    <x v="93"/>
    <x v="111"/>
    <x v="118"/>
  </r>
  <r>
    <n v="2022"/>
    <n v="7"/>
    <x v="129"/>
    <x v="6"/>
    <x v="6"/>
    <x v="8"/>
    <x v="19"/>
    <x v="0"/>
    <x v="94"/>
    <x v="112"/>
    <x v="119"/>
  </r>
  <r>
    <n v="2022"/>
    <n v="7"/>
    <x v="130"/>
    <x v="6"/>
    <x v="6"/>
    <x v="6"/>
    <x v="8"/>
    <x v="0"/>
    <x v="95"/>
    <x v="113"/>
    <x v="120"/>
  </r>
  <r>
    <n v="2022"/>
    <n v="7"/>
    <x v="131"/>
    <x v="6"/>
    <x v="6"/>
    <x v="6"/>
    <x v="8"/>
    <x v="0"/>
    <x v="96"/>
    <x v="114"/>
    <x v="121"/>
  </r>
  <r>
    <n v="2022"/>
    <n v="7"/>
    <x v="132"/>
    <x v="6"/>
    <x v="6"/>
    <x v="7"/>
    <x v="8"/>
    <x v="0"/>
    <x v="97"/>
    <x v="2"/>
    <x v="2"/>
  </r>
  <r>
    <n v="2022"/>
    <n v="7"/>
    <x v="133"/>
    <x v="6"/>
    <x v="6"/>
    <x v="6"/>
    <x v="20"/>
    <x v="4"/>
    <x v="98"/>
    <x v="115"/>
    <x v="2"/>
  </r>
  <r>
    <n v="2022"/>
    <n v="7"/>
    <x v="134"/>
    <x v="6"/>
    <x v="6"/>
    <x v="6"/>
    <x v="21"/>
    <x v="0"/>
    <x v="4"/>
    <x v="116"/>
    <x v="122"/>
  </r>
  <r>
    <n v="2022"/>
    <n v="7"/>
    <x v="135"/>
    <x v="6"/>
    <x v="6"/>
    <x v="6"/>
    <x v="11"/>
    <x v="0"/>
    <x v="4"/>
    <x v="117"/>
    <x v="123"/>
  </r>
  <r>
    <n v="2022"/>
    <n v="7"/>
    <x v="136"/>
    <x v="6"/>
    <x v="6"/>
    <x v="6"/>
    <x v="11"/>
    <x v="4"/>
    <x v="99"/>
    <x v="118"/>
    <x v="2"/>
  </r>
  <r>
    <n v="2022"/>
    <n v="7"/>
    <x v="137"/>
    <x v="6"/>
    <x v="6"/>
    <x v="6"/>
    <x v="11"/>
    <x v="4"/>
    <x v="100"/>
    <x v="2"/>
    <x v="2"/>
  </r>
  <r>
    <n v="2022"/>
    <n v="7"/>
    <x v="138"/>
    <x v="6"/>
    <x v="6"/>
    <x v="7"/>
    <x v="11"/>
    <x v="0"/>
    <x v="4"/>
    <x v="119"/>
    <x v="124"/>
  </r>
  <r>
    <n v="2022"/>
    <n v="7"/>
    <x v="139"/>
    <x v="6"/>
    <x v="6"/>
    <x v="7"/>
    <x v="11"/>
    <x v="0"/>
    <x v="101"/>
    <x v="2"/>
    <x v="2"/>
  </r>
  <r>
    <n v="2022"/>
    <n v="7"/>
    <x v="140"/>
    <x v="6"/>
    <x v="6"/>
    <x v="9"/>
    <x v="6"/>
    <x v="4"/>
    <x v="4"/>
    <x v="2"/>
    <x v="125"/>
  </r>
  <r>
    <n v="2022"/>
    <n v="7"/>
    <x v="141"/>
    <x v="6"/>
    <x v="6"/>
    <x v="9"/>
    <x v="6"/>
    <x v="5"/>
    <x v="4"/>
    <x v="120"/>
    <x v="2"/>
  </r>
  <r>
    <n v="2022"/>
    <n v="7"/>
    <x v="142"/>
    <x v="6"/>
    <x v="6"/>
    <x v="6"/>
    <x v="6"/>
    <x v="0"/>
    <x v="102"/>
    <x v="121"/>
    <x v="126"/>
  </r>
  <r>
    <n v="2022"/>
    <n v="7"/>
    <x v="143"/>
    <x v="6"/>
    <x v="6"/>
    <x v="7"/>
    <x v="6"/>
    <x v="0"/>
    <x v="103"/>
    <x v="122"/>
    <x v="127"/>
  </r>
  <r>
    <n v="2022"/>
    <n v="7"/>
    <x v="144"/>
    <x v="6"/>
    <x v="6"/>
    <x v="7"/>
    <x v="6"/>
    <x v="0"/>
    <x v="104"/>
    <x v="123"/>
    <x v="128"/>
  </r>
  <r>
    <n v="2022"/>
    <n v="7"/>
    <x v="145"/>
    <x v="6"/>
    <x v="7"/>
    <x v="10"/>
    <x v="6"/>
    <x v="0"/>
    <x v="105"/>
    <x v="2"/>
    <x v="129"/>
  </r>
  <r>
    <n v="2022"/>
    <n v="7"/>
    <x v="146"/>
    <x v="6"/>
    <x v="6"/>
    <x v="6"/>
    <x v="22"/>
    <x v="7"/>
    <x v="106"/>
    <x v="124"/>
    <x v="130"/>
  </r>
  <r>
    <n v="2022"/>
    <n v="7"/>
    <x v="147"/>
    <x v="6"/>
    <x v="6"/>
    <x v="7"/>
    <x v="22"/>
    <x v="7"/>
    <x v="107"/>
    <x v="125"/>
    <x v="131"/>
  </r>
  <r>
    <n v="2022"/>
    <n v="7"/>
    <x v="148"/>
    <x v="6"/>
    <x v="6"/>
    <x v="7"/>
    <x v="22"/>
    <x v="7"/>
    <x v="108"/>
    <x v="126"/>
    <x v="132"/>
  </r>
  <r>
    <n v="2022"/>
    <n v="7"/>
    <x v="149"/>
    <x v="6"/>
    <x v="6"/>
    <x v="8"/>
    <x v="22"/>
    <x v="7"/>
    <x v="109"/>
    <x v="127"/>
    <x v="133"/>
  </r>
  <r>
    <n v="2022"/>
    <n v="7"/>
    <x v="150"/>
    <x v="6"/>
    <x v="6"/>
    <x v="6"/>
    <x v="0"/>
    <x v="7"/>
    <x v="110"/>
    <x v="128"/>
    <x v="134"/>
  </r>
  <r>
    <n v="2022"/>
    <n v="7"/>
    <x v="151"/>
    <x v="6"/>
    <x v="6"/>
    <x v="7"/>
    <x v="0"/>
    <x v="7"/>
    <x v="111"/>
    <x v="129"/>
    <x v="135"/>
  </r>
  <r>
    <n v="2022"/>
    <n v="7"/>
    <x v="152"/>
    <x v="6"/>
    <x v="6"/>
    <x v="7"/>
    <x v="0"/>
    <x v="7"/>
    <x v="112"/>
    <x v="130"/>
    <x v="136"/>
  </r>
  <r>
    <n v="2022"/>
    <n v="7"/>
    <x v="153"/>
    <x v="6"/>
    <x v="6"/>
    <x v="8"/>
    <x v="0"/>
    <x v="7"/>
    <x v="113"/>
    <x v="131"/>
    <x v="137"/>
  </r>
  <r>
    <n v="2022"/>
    <n v="7"/>
    <x v="154"/>
    <x v="6"/>
    <x v="6"/>
    <x v="6"/>
    <x v="12"/>
    <x v="7"/>
    <x v="114"/>
    <x v="132"/>
    <x v="138"/>
  </r>
  <r>
    <n v="2022"/>
    <n v="7"/>
    <x v="155"/>
    <x v="6"/>
    <x v="6"/>
    <x v="7"/>
    <x v="12"/>
    <x v="7"/>
    <x v="115"/>
    <x v="133"/>
    <x v="139"/>
  </r>
  <r>
    <n v="2022"/>
    <n v="7"/>
    <x v="156"/>
    <x v="6"/>
    <x v="6"/>
    <x v="7"/>
    <x v="12"/>
    <x v="7"/>
    <x v="116"/>
    <x v="134"/>
    <x v="140"/>
  </r>
  <r>
    <n v="2022"/>
    <n v="7"/>
    <x v="157"/>
    <x v="6"/>
    <x v="6"/>
    <x v="8"/>
    <x v="12"/>
    <x v="7"/>
    <x v="117"/>
    <x v="135"/>
    <x v="141"/>
  </r>
  <r>
    <n v="2022"/>
    <n v="7"/>
    <x v="158"/>
    <x v="6"/>
    <x v="6"/>
    <x v="6"/>
    <x v="13"/>
    <x v="7"/>
    <x v="118"/>
    <x v="136"/>
    <x v="142"/>
  </r>
  <r>
    <n v="2022"/>
    <n v="7"/>
    <x v="159"/>
    <x v="6"/>
    <x v="6"/>
    <x v="7"/>
    <x v="13"/>
    <x v="7"/>
    <x v="119"/>
    <x v="137"/>
    <x v="143"/>
  </r>
  <r>
    <n v="2022"/>
    <n v="7"/>
    <x v="160"/>
    <x v="6"/>
    <x v="6"/>
    <x v="7"/>
    <x v="13"/>
    <x v="7"/>
    <x v="120"/>
    <x v="138"/>
    <x v="144"/>
  </r>
  <r>
    <n v="2022"/>
    <n v="7"/>
    <x v="161"/>
    <x v="6"/>
    <x v="6"/>
    <x v="8"/>
    <x v="13"/>
    <x v="7"/>
    <x v="121"/>
    <x v="139"/>
    <x v="145"/>
  </r>
  <r>
    <n v="2022"/>
    <n v="7"/>
    <x v="162"/>
    <x v="6"/>
    <x v="6"/>
    <x v="6"/>
    <x v="14"/>
    <x v="7"/>
    <x v="122"/>
    <x v="140"/>
    <x v="146"/>
  </r>
  <r>
    <n v="2022"/>
    <n v="7"/>
    <x v="163"/>
    <x v="6"/>
    <x v="6"/>
    <x v="7"/>
    <x v="14"/>
    <x v="7"/>
    <x v="123"/>
    <x v="141"/>
    <x v="147"/>
  </r>
  <r>
    <n v="2022"/>
    <n v="7"/>
    <x v="164"/>
    <x v="6"/>
    <x v="6"/>
    <x v="6"/>
    <x v="12"/>
    <x v="7"/>
    <x v="124"/>
    <x v="142"/>
    <x v="148"/>
  </r>
  <r>
    <n v="2022"/>
    <n v="7"/>
    <x v="165"/>
    <x v="6"/>
    <x v="6"/>
    <x v="7"/>
    <x v="12"/>
    <x v="7"/>
    <x v="125"/>
    <x v="143"/>
    <x v="149"/>
  </r>
  <r>
    <n v="2022"/>
    <n v="7"/>
    <x v="166"/>
    <x v="6"/>
    <x v="6"/>
    <x v="7"/>
    <x v="12"/>
    <x v="7"/>
    <x v="126"/>
    <x v="144"/>
    <x v="150"/>
  </r>
  <r>
    <n v="2022"/>
    <n v="7"/>
    <x v="167"/>
    <x v="6"/>
    <x v="6"/>
    <x v="8"/>
    <x v="12"/>
    <x v="7"/>
    <x v="127"/>
    <x v="145"/>
    <x v="151"/>
  </r>
  <r>
    <n v="2022"/>
    <n v="7"/>
    <x v="168"/>
    <x v="6"/>
    <x v="6"/>
    <x v="8"/>
    <x v="9"/>
    <x v="7"/>
    <x v="128"/>
    <x v="2"/>
    <x v="2"/>
  </r>
  <r>
    <n v="2022"/>
    <n v="7"/>
    <x v="169"/>
    <x v="6"/>
    <x v="6"/>
    <x v="6"/>
    <x v="2"/>
    <x v="7"/>
    <x v="129"/>
    <x v="146"/>
    <x v="152"/>
  </r>
  <r>
    <n v="2022"/>
    <n v="7"/>
    <x v="170"/>
    <x v="6"/>
    <x v="6"/>
    <x v="7"/>
    <x v="2"/>
    <x v="7"/>
    <x v="130"/>
    <x v="2"/>
    <x v="2"/>
  </r>
  <r>
    <n v="2022"/>
    <n v="7"/>
    <x v="171"/>
    <x v="6"/>
    <x v="6"/>
    <x v="6"/>
    <x v="4"/>
    <x v="7"/>
    <x v="131"/>
    <x v="2"/>
    <x v="2"/>
  </r>
  <r>
    <n v="2022"/>
    <n v="7"/>
    <x v="172"/>
    <x v="6"/>
    <x v="6"/>
    <x v="6"/>
    <x v="7"/>
    <x v="7"/>
    <x v="4"/>
    <x v="147"/>
    <x v="2"/>
  </r>
  <r>
    <n v="2022"/>
    <n v="7"/>
    <x v="173"/>
    <x v="6"/>
    <x v="6"/>
    <x v="6"/>
    <x v="8"/>
    <x v="7"/>
    <x v="132"/>
    <x v="148"/>
    <x v="153"/>
  </r>
  <r>
    <n v="2022"/>
    <n v="7"/>
    <x v="174"/>
    <x v="6"/>
    <x v="6"/>
    <x v="6"/>
    <x v="11"/>
    <x v="7"/>
    <x v="133"/>
    <x v="149"/>
    <x v="154"/>
  </r>
  <r>
    <n v="2022"/>
    <n v="7"/>
    <x v="175"/>
    <x v="6"/>
    <x v="6"/>
    <x v="7"/>
    <x v="11"/>
    <x v="7"/>
    <x v="134"/>
    <x v="150"/>
    <x v="155"/>
  </r>
  <r>
    <n v="2022"/>
    <n v="7"/>
    <x v="176"/>
    <x v="6"/>
    <x v="6"/>
    <x v="7"/>
    <x v="11"/>
    <x v="7"/>
    <x v="135"/>
    <x v="151"/>
    <x v="156"/>
  </r>
  <r>
    <n v="2022"/>
    <n v="7"/>
    <x v="177"/>
    <x v="6"/>
    <x v="6"/>
    <x v="7"/>
    <x v="6"/>
    <x v="7"/>
    <x v="4"/>
    <x v="152"/>
    <x v="157"/>
  </r>
  <r>
    <n v="2022"/>
    <n v="7"/>
    <x v="178"/>
    <x v="7"/>
    <x v="1"/>
    <x v="11"/>
    <x v="0"/>
    <x v="0"/>
    <x v="136"/>
    <x v="153"/>
    <x v="158"/>
  </r>
  <r>
    <n v="2022"/>
    <n v="7"/>
    <x v="179"/>
    <x v="7"/>
    <x v="1"/>
    <x v="11"/>
    <x v="9"/>
    <x v="0"/>
    <x v="137"/>
    <x v="154"/>
    <x v="159"/>
  </r>
  <r>
    <n v="2022"/>
    <n v="7"/>
    <x v="180"/>
    <x v="7"/>
    <x v="1"/>
    <x v="11"/>
    <x v="1"/>
    <x v="8"/>
    <x v="138"/>
    <x v="155"/>
    <x v="160"/>
  </r>
  <r>
    <n v="2022"/>
    <n v="7"/>
    <x v="181"/>
    <x v="7"/>
    <x v="1"/>
    <x v="11"/>
    <x v="2"/>
    <x v="0"/>
    <x v="139"/>
    <x v="156"/>
    <x v="161"/>
  </r>
  <r>
    <n v="2022"/>
    <n v="7"/>
    <x v="182"/>
    <x v="7"/>
    <x v="1"/>
    <x v="11"/>
    <x v="2"/>
    <x v="0"/>
    <x v="140"/>
    <x v="157"/>
    <x v="162"/>
  </r>
  <r>
    <n v="2022"/>
    <n v="7"/>
    <x v="183"/>
    <x v="7"/>
    <x v="1"/>
    <x v="11"/>
    <x v="2"/>
    <x v="0"/>
    <x v="4"/>
    <x v="158"/>
    <x v="2"/>
  </r>
  <r>
    <n v="2022"/>
    <n v="7"/>
    <x v="184"/>
    <x v="7"/>
    <x v="1"/>
    <x v="11"/>
    <x v="23"/>
    <x v="0"/>
    <x v="4"/>
    <x v="159"/>
    <x v="163"/>
  </r>
  <r>
    <n v="2022"/>
    <n v="7"/>
    <x v="185"/>
    <x v="7"/>
    <x v="1"/>
    <x v="11"/>
    <x v="3"/>
    <x v="0"/>
    <x v="4"/>
    <x v="160"/>
    <x v="164"/>
  </r>
  <r>
    <n v="2022"/>
    <n v="7"/>
    <x v="186"/>
    <x v="7"/>
    <x v="1"/>
    <x v="11"/>
    <x v="3"/>
    <x v="0"/>
    <x v="141"/>
    <x v="161"/>
    <x v="165"/>
  </r>
  <r>
    <n v="2022"/>
    <n v="7"/>
    <x v="187"/>
    <x v="7"/>
    <x v="1"/>
    <x v="11"/>
    <x v="4"/>
    <x v="0"/>
    <x v="142"/>
    <x v="162"/>
    <x v="166"/>
  </r>
  <r>
    <n v="2022"/>
    <n v="7"/>
    <x v="188"/>
    <x v="7"/>
    <x v="1"/>
    <x v="11"/>
    <x v="4"/>
    <x v="0"/>
    <x v="143"/>
    <x v="163"/>
    <x v="167"/>
  </r>
  <r>
    <n v="2022"/>
    <n v="7"/>
    <x v="189"/>
    <x v="7"/>
    <x v="1"/>
    <x v="11"/>
    <x v="4"/>
    <x v="2"/>
    <x v="4"/>
    <x v="164"/>
    <x v="168"/>
  </r>
  <r>
    <n v="2022"/>
    <n v="7"/>
    <x v="190"/>
    <x v="7"/>
    <x v="1"/>
    <x v="11"/>
    <x v="4"/>
    <x v="0"/>
    <x v="144"/>
    <x v="165"/>
    <x v="169"/>
  </r>
  <r>
    <n v="2022"/>
    <n v="7"/>
    <x v="191"/>
    <x v="7"/>
    <x v="1"/>
    <x v="11"/>
    <x v="5"/>
    <x v="2"/>
    <x v="4"/>
    <x v="166"/>
    <x v="170"/>
  </r>
  <r>
    <n v="2022"/>
    <n v="7"/>
    <x v="192"/>
    <x v="7"/>
    <x v="1"/>
    <x v="11"/>
    <x v="5"/>
    <x v="0"/>
    <x v="145"/>
    <x v="167"/>
    <x v="171"/>
  </r>
  <r>
    <n v="2022"/>
    <n v="7"/>
    <x v="193"/>
    <x v="7"/>
    <x v="1"/>
    <x v="11"/>
    <x v="8"/>
    <x v="0"/>
    <x v="146"/>
    <x v="168"/>
    <x v="172"/>
  </r>
  <r>
    <n v="2022"/>
    <n v="7"/>
    <x v="194"/>
    <x v="7"/>
    <x v="1"/>
    <x v="11"/>
    <x v="8"/>
    <x v="0"/>
    <x v="4"/>
    <x v="2"/>
    <x v="173"/>
  </r>
  <r>
    <n v="2022"/>
    <n v="7"/>
    <x v="195"/>
    <x v="7"/>
    <x v="1"/>
    <x v="11"/>
    <x v="11"/>
    <x v="0"/>
    <x v="147"/>
    <x v="169"/>
    <x v="174"/>
  </r>
  <r>
    <n v="2022"/>
    <n v="7"/>
    <x v="196"/>
    <x v="7"/>
    <x v="1"/>
    <x v="11"/>
    <x v="11"/>
    <x v="4"/>
    <x v="4"/>
    <x v="170"/>
    <x v="175"/>
  </r>
  <r>
    <n v="2022"/>
    <n v="7"/>
    <x v="197"/>
    <x v="7"/>
    <x v="1"/>
    <x v="11"/>
    <x v="6"/>
    <x v="0"/>
    <x v="148"/>
    <x v="171"/>
    <x v="176"/>
  </r>
  <r>
    <n v="2022"/>
    <n v="7"/>
    <x v="198"/>
    <x v="7"/>
    <x v="1"/>
    <x v="11"/>
    <x v="6"/>
    <x v="0"/>
    <x v="4"/>
    <x v="172"/>
    <x v="177"/>
  </r>
  <r>
    <n v="2022"/>
    <n v="7"/>
    <x v="199"/>
    <x v="8"/>
    <x v="8"/>
    <x v="12"/>
    <x v="0"/>
    <x v="0"/>
    <x v="149"/>
    <x v="173"/>
    <x v="178"/>
  </r>
  <r>
    <n v="2022"/>
    <n v="7"/>
    <x v="200"/>
    <x v="8"/>
    <x v="8"/>
    <x v="12"/>
    <x v="9"/>
    <x v="0"/>
    <x v="150"/>
    <x v="174"/>
    <x v="179"/>
  </r>
  <r>
    <n v="2022"/>
    <n v="7"/>
    <x v="201"/>
    <x v="8"/>
    <x v="8"/>
    <x v="12"/>
    <x v="15"/>
    <x v="0"/>
    <x v="151"/>
    <x v="175"/>
    <x v="180"/>
  </r>
  <r>
    <n v="2022"/>
    <n v="7"/>
    <x v="202"/>
    <x v="8"/>
    <x v="8"/>
    <x v="12"/>
    <x v="15"/>
    <x v="7"/>
    <x v="4"/>
    <x v="176"/>
    <x v="181"/>
  </r>
  <r>
    <n v="2022"/>
    <n v="7"/>
    <x v="203"/>
    <x v="8"/>
    <x v="8"/>
    <x v="12"/>
    <x v="15"/>
    <x v="2"/>
    <x v="152"/>
    <x v="2"/>
    <x v="2"/>
  </r>
  <r>
    <n v="2022"/>
    <n v="7"/>
    <x v="204"/>
    <x v="8"/>
    <x v="8"/>
    <x v="12"/>
    <x v="15"/>
    <x v="4"/>
    <x v="4"/>
    <x v="177"/>
    <x v="182"/>
  </r>
  <r>
    <n v="2022"/>
    <n v="7"/>
    <x v="205"/>
    <x v="8"/>
    <x v="8"/>
    <x v="12"/>
    <x v="17"/>
    <x v="0"/>
    <x v="153"/>
    <x v="178"/>
    <x v="183"/>
  </r>
  <r>
    <n v="2022"/>
    <n v="7"/>
    <x v="206"/>
    <x v="8"/>
    <x v="8"/>
    <x v="12"/>
    <x v="2"/>
    <x v="0"/>
    <x v="154"/>
    <x v="179"/>
    <x v="184"/>
  </r>
  <r>
    <n v="2022"/>
    <n v="7"/>
    <x v="207"/>
    <x v="8"/>
    <x v="8"/>
    <x v="12"/>
    <x v="2"/>
    <x v="4"/>
    <x v="155"/>
    <x v="180"/>
    <x v="185"/>
  </r>
  <r>
    <n v="2022"/>
    <n v="7"/>
    <x v="208"/>
    <x v="8"/>
    <x v="8"/>
    <x v="12"/>
    <x v="24"/>
    <x v="0"/>
    <x v="156"/>
    <x v="181"/>
    <x v="186"/>
  </r>
  <r>
    <n v="2022"/>
    <n v="7"/>
    <x v="209"/>
    <x v="8"/>
    <x v="8"/>
    <x v="12"/>
    <x v="3"/>
    <x v="0"/>
    <x v="4"/>
    <x v="182"/>
    <x v="187"/>
  </r>
  <r>
    <n v="2022"/>
    <n v="7"/>
    <x v="210"/>
    <x v="8"/>
    <x v="8"/>
    <x v="12"/>
    <x v="3"/>
    <x v="0"/>
    <x v="157"/>
    <x v="183"/>
    <x v="188"/>
  </r>
  <r>
    <n v="2022"/>
    <n v="7"/>
    <x v="211"/>
    <x v="8"/>
    <x v="8"/>
    <x v="12"/>
    <x v="3"/>
    <x v="7"/>
    <x v="4"/>
    <x v="184"/>
    <x v="189"/>
  </r>
  <r>
    <n v="2022"/>
    <n v="7"/>
    <x v="212"/>
    <x v="8"/>
    <x v="8"/>
    <x v="12"/>
    <x v="3"/>
    <x v="4"/>
    <x v="4"/>
    <x v="185"/>
    <x v="190"/>
  </r>
  <r>
    <n v="2022"/>
    <n v="7"/>
    <x v="213"/>
    <x v="8"/>
    <x v="8"/>
    <x v="12"/>
    <x v="4"/>
    <x v="0"/>
    <x v="158"/>
    <x v="186"/>
    <x v="191"/>
  </r>
  <r>
    <n v="2022"/>
    <n v="7"/>
    <x v="214"/>
    <x v="8"/>
    <x v="8"/>
    <x v="12"/>
    <x v="4"/>
    <x v="0"/>
    <x v="4"/>
    <x v="187"/>
    <x v="2"/>
  </r>
  <r>
    <n v="2022"/>
    <n v="7"/>
    <x v="215"/>
    <x v="8"/>
    <x v="8"/>
    <x v="12"/>
    <x v="4"/>
    <x v="0"/>
    <x v="159"/>
    <x v="188"/>
    <x v="192"/>
  </r>
  <r>
    <n v="2022"/>
    <n v="7"/>
    <x v="216"/>
    <x v="8"/>
    <x v="8"/>
    <x v="12"/>
    <x v="4"/>
    <x v="7"/>
    <x v="4"/>
    <x v="189"/>
    <x v="193"/>
  </r>
  <r>
    <n v="2022"/>
    <n v="7"/>
    <x v="217"/>
    <x v="8"/>
    <x v="8"/>
    <x v="12"/>
    <x v="4"/>
    <x v="4"/>
    <x v="160"/>
    <x v="190"/>
    <x v="194"/>
  </r>
  <r>
    <n v="2022"/>
    <n v="7"/>
    <x v="218"/>
    <x v="8"/>
    <x v="8"/>
    <x v="12"/>
    <x v="4"/>
    <x v="1"/>
    <x v="4"/>
    <x v="191"/>
    <x v="195"/>
  </r>
  <r>
    <n v="2022"/>
    <n v="7"/>
    <x v="219"/>
    <x v="8"/>
    <x v="8"/>
    <x v="12"/>
    <x v="4"/>
    <x v="3"/>
    <x v="161"/>
    <x v="192"/>
    <x v="2"/>
  </r>
  <r>
    <n v="2022"/>
    <n v="7"/>
    <x v="220"/>
    <x v="8"/>
    <x v="8"/>
    <x v="12"/>
    <x v="5"/>
    <x v="0"/>
    <x v="162"/>
    <x v="193"/>
    <x v="196"/>
  </r>
  <r>
    <n v="2022"/>
    <n v="7"/>
    <x v="221"/>
    <x v="8"/>
    <x v="8"/>
    <x v="12"/>
    <x v="5"/>
    <x v="0"/>
    <x v="163"/>
    <x v="194"/>
    <x v="197"/>
  </r>
  <r>
    <n v="2022"/>
    <n v="7"/>
    <x v="222"/>
    <x v="8"/>
    <x v="8"/>
    <x v="12"/>
    <x v="5"/>
    <x v="0"/>
    <x v="164"/>
    <x v="195"/>
    <x v="198"/>
  </r>
  <r>
    <n v="2022"/>
    <n v="7"/>
    <x v="223"/>
    <x v="8"/>
    <x v="8"/>
    <x v="12"/>
    <x v="5"/>
    <x v="1"/>
    <x v="165"/>
    <x v="196"/>
    <x v="199"/>
  </r>
  <r>
    <n v="2022"/>
    <n v="7"/>
    <x v="224"/>
    <x v="8"/>
    <x v="8"/>
    <x v="12"/>
    <x v="8"/>
    <x v="4"/>
    <x v="4"/>
    <x v="2"/>
    <x v="200"/>
  </r>
  <r>
    <n v="2022"/>
    <n v="7"/>
    <x v="225"/>
    <x v="8"/>
    <x v="8"/>
    <x v="12"/>
    <x v="20"/>
    <x v="0"/>
    <x v="166"/>
    <x v="197"/>
    <x v="201"/>
  </r>
  <r>
    <n v="2022"/>
    <n v="7"/>
    <x v="226"/>
    <x v="8"/>
    <x v="8"/>
    <x v="12"/>
    <x v="20"/>
    <x v="4"/>
    <x v="167"/>
    <x v="198"/>
    <x v="202"/>
  </r>
  <r>
    <n v="2022"/>
    <n v="7"/>
    <x v="227"/>
    <x v="8"/>
    <x v="8"/>
    <x v="12"/>
    <x v="20"/>
    <x v="5"/>
    <x v="168"/>
    <x v="199"/>
    <x v="203"/>
  </r>
  <r>
    <n v="2022"/>
    <n v="7"/>
    <x v="228"/>
    <x v="8"/>
    <x v="8"/>
    <x v="12"/>
    <x v="25"/>
    <x v="3"/>
    <x v="169"/>
    <x v="2"/>
    <x v="2"/>
  </r>
  <r>
    <n v="2022"/>
    <n v="7"/>
    <x v="229"/>
    <x v="8"/>
    <x v="8"/>
    <x v="12"/>
    <x v="6"/>
    <x v="0"/>
    <x v="170"/>
    <x v="200"/>
    <x v="204"/>
  </r>
  <r>
    <n v="2022"/>
    <n v="7"/>
    <x v="230"/>
    <x v="8"/>
    <x v="8"/>
    <x v="12"/>
    <x v="6"/>
    <x v="4"/>
    <x v="171"/>
    <x v="201"/>
    <x v="2"/>
  </r>
  <r>
    <n v="2022"/>
    <n v="7"/>
    <x v="231"/>
    <x v="9"/>
    <x v="0"/>
    <x v="13"/>
    <x v="0"/>
    <x v="0"/>
    <x v="172"/>
    <x v="202"/>
    <x v="205"/>
  </r>
  <r>
    <n v="2022"/>
    <n v="7"/>
    <x v="232"/>
    <x v="9"/>
    <x v="0"/>
    <x v="13"/>
    <x v="2"/>
    <x v="0"/>
    <x v="173"/>
    <x v="203"/>
    <x v="2"/>
  </r>
  <r>
    <n v="2022"/>
    <n v="7"/>
    <x v="233"/>
    <x v="9"/>
    <x v="3"/>
    <x v="5"/>
    <x v="2"/>
    <x v="2"/>
    <x v="174"/>
    <x v="2"/>
    <x v="2"/>
  </r>
  <r>
    <n v="2022"/>
    <n v="7"/>
    <x v="234"/>
    <x v="9"/>
    <x v="3"/>
    <x v="13"/>
    <x v="2"/>
    <x v="0"/>
    <x v="175"/>
    <x v="204"/>
    <x v="206"/>
  </r>
  <r>
    <n v="2022"/>
    <n v="7"/>
    <x v="235"/>
    <x v="9"/>
    <x v="3"/>
    <x v="13"/>
    <x v="3"/>
    <x v="0"/>
    <x v="176"/>
    <x v="205"/>
    <x v="207"/>
  </r>
  <r>
    <n v="2022"/>
    <n v="7"/>
    <x v="236"/>
    <x v="9"/>
    <x v="0"/>
    <x v="13"/>
    <x v="4"/>
    <x v="0"/>
    <x v="177"/>
    <x v="206"/>
    <x v="208"/>
  </r>
  <r>
    <n v="2022"/>
    <n v="7"/>
    <x v="237"/>
    <x v="9"/>
    <x v="3"/>
    <x v="5"/>
    <x v="4"/>
    <x v="2"/>
    <x v="178"/>
    <x v="207"/>
    <x v="209"/>
  </r>
  <r>
    <n v="2022"/>
    <n v="7"/>
    <x v="238"/>
    <x v="9"/>
    <x v="3"/>
    <x v="13"/>
    <x v="4"/>
    <x v="0"/>
    <x v="179"/>
    <x v="208"/>
    <x v="210"/>
  </r>
  <r>
    <n v="2022"/>
    <n v="7"/>
    <x v="239"/>
    <x v="9"/>
    <x v="9"/>
    <x v="14"/>
    <x v="4"/>
    <x v="0"/>
    <x v="4"/>
    <x v="209"/>
    <x v="211"/>
  </r>
  <r>
    <n v="2022"/>
    <n v="7"/>
    <x v="240"/>
    <x v="9"/>
    <x v="3"/>
    <x v="13"/>
    <x v="8"/>
    <x v="0"/>
    <x v="180"/>
    <x v="210"/>
    <x v="212"/>
  </r>
  <r>
    <n v="2022"/>
    <n v="7"/>
    <x v="241"/>
    <x v="9"/>
    <x v="3"/>
    <x v="13"/>
    <x v="20"/>
    <x v="0"/>
    <x v="181"/>
    <x v="211"/>
    <x v="213"/>
  </r>
  <r>
    <n v="2022"/>
    <n v="7"/>
    <x v="242"/>
    <x v="9"/>
    <x v="3"/>
    <x v="5"/>
    <x v="11"/>
    <x v="2"/>
    <x v="4"/>
    <x v="212"/>
    <x v="214"/>
  </r>
  <r>
    <n v="2022"/>
    <n v="7"/>
    <x v="243"/>
    <x v="9"/>
    <x v="0"/>
    <x v="13"/>
    <x v="6"/>
    <x v="0"/>
    <x v="173"/>
    <x v="213"/>
    <x v="215"/>
  </r>
  <r>
    <n v="2022"/>
    <n v="7"/>
    <x v="244"/>
    <x v="9"/>
    <x v="3"/>
    <x v="5"/>
    <x v="6"/>
    <x v="2"/>
    <x v="4"/>
    <x v="214"/>
    <x v="216"/>
  </r>
  <r>
    <n v="2022"/>
    <n v="7"/>
    <x v="245"/>
    <x v="10"/>
    <x v="10"/>
    <x v="15"/>
    <x v="0"/>
    <x v="0"/>
    <x v="182"/>
    <x v="215"/>
    <x v="217"/>
  </r>
  <r>
    <n v="2022"/>
    <n v="7"/>
    <x v="246"/>
    <x v="10"/>
    <x v="10"/>
    <x v="15"/>
    <x v="12"/>
    <x v="0"/>
    <x v="183"/>
    <x v="216"/>
    <x v="218"/>
  </r>
  <r>
    <n v="2022"/>
    <n v="7"/>
    <x v="247"/>
    <x v="10"/>
    <x v="10"/>
    <x v="15"/>
    <x v="13"/>
    <x v="0"/>
    <x v="184"/>
    <x v="217"/>
    <x v="219"/>
  </r>
  <r>
    <n v="2022"/>
    <n v="7"/>
    <x v="248"/>
    <x v="10"/>
    <x v="10"/>
    <x v="15"/>
    <x v="14"/>
    <x v="0"/>
    <x v="185"/>
    <x v="218"/>
    <x v="220"/>
  </r>
  <r>
    <n v="2022"/>
    <n v="7"/>
    <x v="249"/>
    <x v="10"/>
    <x v="10"/>
    <x v="15"/>
    <x v="26"/>
    <x v="0"/>
    <x v="186"/>
    <x v="219"/>
    <x v="221"/>
  </r>
  <r>
    <n v="2022"/>
    <n v="7"/>
    <x v="250"/>
    <x v="10"/>
    <x v="10"/>
    <x v="15"/>
    <x v="12"/>
    <x v="0"/>
    <x v="187"/>
    <x v="220"/>
    <x v="222"/>
  </r>
  <r>
    <n v="2022"/>
    <n v="7"/>
    <x v="251"/>
    <x v="10"/>
    <x v="10"/>
    <x v="15"/>
    <x v="16"/>
    <x v="0"/>
    <x v="188"/>
    <x v="221"/>
    <x v="223"/>
  </r>
  <r>
    <n v="2022"/>
    <n v="7"/>
    <x v="252"/>
    <x v="10"/>
    <x v="10"/>
    <x v="15"/>
    <x v="17"/>
    <x v="0"/>
    <x v="189"/>
    <x v="222"/>
    <x v="224"/>
  </r>
  <r>
    <n v="2022"/>
    <n v="7"/>
    <x v="253"/>
    <x v="10"/>
    <x v="10"/>
    <x v="15"/>
    <x v="2"/>
    <x v="0"/>
    <x v="190"/>
    <x v="223"/>
    <x v="225"/>
  </r>
  <r>
    <n v="2022"/>
    <n v="7"/>
    <x v="254"/>
    <x v="10"/>
    <x v="10"/>
    <x v="15"/>
    <x v="3"/>
    <x v="0"/>
    <x v="191"/>
    <x v="224"/>
    <x v="226"/>
  </r>
  <r>
    <n v="2022"/>
    <n v="7"/>
    <x v="255"/>
    <x v="10"/>
    <x v="10"/>
    <x v="15"/>
    <x v="3"/>
    <x v="0"/>
    <x v="4"/>
    <x v="225"/>
    <x v="227"/>
  </r>
  <r>
    <n v="2022"/>
    <n v="7"/>
    <x v="256"/>
    <x v="10"/>
    <x v="10"/>
    <x v="15"/>
    <x v="18"/>
    <x v="0"/>
    <x v="192"/>
    <x v="226"/>
    <x v="228"/>
  </r>
  <r>
    <n v="2022"/>
    <n v="7"/>
    <x v="257"/>
    <x v="10"/>
    <x v="10"/>
    <x v="15"/>
    <x v="18"/>
    <x v="0"/>
    <x v="193"/>
    <x v="227"/>
    <x v="229"/>
  </r>
  <r>
    <n v="2022"/>
    <n v="7"/>
    <x v="258"/>
    <x v="10"/>
    <x v="10"/>
    <x v="15"/>
    <x v="4"/>
    <x v="0"/>
    <x v="194"/>
    <x v="228"/>
    <x v="230"/>
  </r>
  <r>
    <n v="2022"/>
    <n v="7"/>
    <x v="259"/>
    <x v="10"/>
    <x v="10"/>
    <x v="15"/>
    <x v="4"/>
    <x v="0"/>
    <x v="195"/>
    <x v="229"/>
    <x v="231"/>
  </r>
  <r>
    <n v="2022"/>
    <n v="7"/>
    <x v="260"/>
    <x v="10"/>
    <x v="10"/>
    <x v="15"/>
    <x v="4"/>
    <x v="0"/>
    <x v="4"/>
    <x v="230"/>
    <x v="232"/>
  </r>
  <r>
    <n v="2022"/>
    <n v="7"/>
    <x v="261"/>
    <x v="10"/>
    <x v="10"/>
    <x v="15"/>
    <x v="4"/>
    <x v="0"/>
    <x v="196"/>
    <x v="231"/>
    <x v="233"/>
  </r>
  <r>
    <n v="2022"/>
    <n v="7"/>
    <x v="262"/>
    <x v="10"/>
    <x v="10"/>
    <x v="15"/>
    <x v="19"/>
    <x v="0"/>
    <x v="197"/>
    <x v="232"/>
    <x v="234"/>
  </r>
  <r>
    <n v="2022"/>
    <n v="7"/>
    <x v="263"/>
    <x v="10"/>
    <x v="10"/>
    <x v="15"/>
    <x v="8"/>
    <x v="0"/>
    <x v="198"/>
    <x v="233"/>
    <x v="235"/>
  </r>
  <r>
    <n v="2022"/>
    <n v="7"/>
    <x v="264"/>
    <x v="10"/>
    <x v="10"/>
    <x v="0"/>
    <x v="6"/>
    <x v="9"/>
    <x v="199"/>
    <x v="234"/>
    <x v="236"/>
  </r>
  <r>
    <n v="2022"/>
    <n v="7"/>
    <x v="265"/>
    <x v="10"/>
    <x v="10"/>
    <x v="15"/>
    <x v="6"/>
    <x v="4"/>
    <x v="200"/>
    <x v="235"/>
    <x v="237"/>
  </r>
  <r>
    <n v="2022"/>
    <n v="7"/>
    <x v="266"/>
    <x v="10"/>
    <x v="10"/>
    <x v="16"/>
    <x v="9"/>
    <x v="0"/>
    <x v="201"/>
    <x v="2"/>
    <x v="238"/>
  </r>
  <r>
    <n v="2022"/>
    <n v="7"/>
    <x v="267"/>
    <x v="10"/>
    <x v="10"/>
    <x v="16"/>
    <x v="9"/>
    <x v="0"/>
    <x v="202"/>
    <x v="2"/>
    <x v="239"/>
  </r>
  <r>
    <n v="2022"/>
    <n v="7"/>
    <x v="268"/>
    <x v="10"/>
    <x v="10"/>
    <x v="16"/>
    <x v="9"/>
    <x v="7"/>
    <x v="203"/>
    <x v="2"/>
    <x v="2"/>
  </r>
  <r>
    <n v="2022"/>
    <n v="7"/>
    <x v="269"/>
    <x v="10"/>
    <x v="10"/>
    <x v="16"/>
    <x v="9"/>
    <x v="4"/>
    <x v="204"/>
    <x v="2"/>
    <x v="2"/>
  </r>
  <r>
    <n v="2022"/>
    <n v="7"/>
    <x v="270"/>
    <x v="10"/>
    <x v="10"/>
    <x v="16"/>
    <x v="9"/>
    <x v="4"/>
    <x v="205"/>
    <x v="2"/>
    <x v="2"/>
  </r>
  <r>
    <n v="2022"/>
    <n v="7"/>
    <x v="271"/>
    <x v="10"/>
    <x v="10"/>
    <x v="16"/>
    <x v="9"/>
    <x v="5"/>
    <x v="4"/>
    <x v="2"/>
    <x v="240"/>
  </r>
  <r>
    <n v="2022"/>
    <n v="7"/>
    <x v="272"/>
    <x v="10"/>
    <x v="10"/>
    <x v="16"/>
    <x v="10"/>
    <x v="0"/>
    <x v="4"/>
    <x v="236"/>
    <x v="241"/>
  </r>
  <r>
    <n v="2022"/>
    <n v="7"/>
    <x v="273"/>
    <x v="10"/>
    <x v="10"/>
    <x v="16"/>
    <x v="10"/>
    <x v="4"/>
    <x v="4"/>
    <x v="237"/>
    <x v="242"/>
  </r>
  <r>
    <n v="2022"/>
    <n v="7"/>
    <x v="274"/>
    <x v="10"/>
    <x v="10"/>
    <x v="16"/>
    <x v="25"/>
    <x v="0"/>
    <x v="206"/>
    <x v="2"/>
    <x v="2"/>
  </r>
  <r>
    <n v="2022"/>
    <n v="7"/>
    <x v="275"/>
    <x v="10"/>
    <x v="10"/>
    <x v="16"/>
    <x v="25"/>
    <x v="6"/>
    <x v="207"/>
    <x v="2"/>
    <x v="2"/>
  </r>
  <r>
    <n v="2022"/>
    <n v="7"/>
    <x v="276"/>
    <x v="10"/>
    <x v="10"/>
    <x v="15"/>
    <x v="22"/>
    <x v="4"/>
    <x v="208"/>
    <x v="238"/>
    <x v="243"/>
  </r>
  <r>
    <n v="2022"/>
    <n v="7"/>
    <x v="277"/>
    <x v="10"/>
    <x v="10"/>
    <x v="17"/>
    <x v="22"/>
    <x v="4"/>
    <x v="209"/>
    <x v="239"/>
    <x v="244"/>
  </r>
  <r>
    <n v="2022"/>
    <n v="7"/>
    <x v="278"/>
    <x v="10"/>
    <x v="0"/>
    <x v="18"/>
    <x v="2"/>
    <x v="0"/>
    <x v="210"/>
    <x v="240"/>
    <x v="245"/>
  </r>
  <r>
    <n v="2022"/>
    <n v="7"/>
    <x v="279"/>
    <x v="10"/>
    <x v="10"/>
    <x v="15"/>
    <x v="2"/>
    <x v="0"/>
    <x v="211"/>
    <x v="241"/>
    <x v="246"/>
  </r>
  <r>
    <n v="2022"/>
    <n v="7"/>
    <x v="280"/>
    <x v="10"/>
    <x v="10"/>
    <x v="15"/>
    <x v="2"/>
    <x v="7"/>
    <x v="212"/>
    <x v="242"/>
    <x v="247"/>
  </r>
  <r>
    <n v="2022"/>
    <n v="7"/>
    <x v="281"/>
    <x v="10"/>
    <x v="10"/>
    <x v="15"/>
    <x v="2"/>
    <x v="4"/>
    <x v="213"/>
    <x v="243"/>
    <x v="248"/>
  </r>
  <r>
    <n v="2022"/>
    <n v="7"/>
    <x v="282"/>
    <x v="10"/>
    <x v="10"/>
    <x v="15"/>
    <x v="2"/>
    <x v="4"/>
    <x v="214"/>
    <x v="2"/>
    <x v="249"/>
  </r>
  <r>
    <n v="2022"/>
    <n v="7"/>
    <x v="283"/>
    <x v="10"/>
    <x v="10"/>
    <x v="15"/>
    <x v="2"/>
    <x v="9"/>
    <x v="215"/>
    <x v="2"/>
    <x v="2"/>
  </r>
  <r>
    <n v="2022"/>
    <n v="7"/>
    <x v="284"/>
    <x v="10"/>
    <x v="10"/>
    <x v="15"/>
    <x v="2"/>
    <x v="6"/>
    <x v="4"/>
    <x v="244"/>
    <x v="250"/>
  </r>
  <r>
    <n v="2022"/>
    <n v="7"/>
    <x v="285"/>
    <x v="10"/>
    <x v="10"/>
    <x v="19"/>
    <x v="2"/>
    <x v="0"/>
    <x v="216"/>
    <x v="245"/>
    <x v="251"/>
  </r>
  <r>
    <n v="2022"/>
    <n v="7"/>
    <x v="286"/>
    <x v="10"/>
    <x v="10"/>
    <x v="19"/>
    <x v="2"/>
    <x v="4"/>
    <x v="217"/>
    <x v="246"/>
    <x v="252"/>
  </r>
  <r>
    <n v="2022"/>
    <n v="7"/>
    <x v="287"/>
    <x v="10"/>
    <x v="10"/>
    <x v="19"/>
    <x v="2"/>
    <x v="4"/>
    <x v="4"/>
    <x v="2"/>
    <x v="253"/>
  </r>
  <r>
    <n v="2022"/>
    <n v="7"/>
    <x v="288"/>
    <x v="10"/>
    <x v="10"/>
    <x v="18"/>
    <x v="2"/>
    <x v="9"/>
    <x v="218"/>
    <x v="247"/>
    <x v="2"/>
  </r>
  <r>
    <n v="2022"/>
    <n v="7"/>
    <x v="289"/>
    <x v="10"/>
    <x v="10"/>
    <x v="17"/>
    <x v="2"/>
    <x v="0"/>
    <x v="4"/>
    <x v="248"/>
    <x v="254"/>
  </r>
  <r>
    <n v="2022"/>
    <n v="7"/>
    <x v="290"/>
    <x v="10"/>
    <x v="10"/>
    <x v="17"/>
    <x v="2"/>
    <x v="4"/>
    <x v="219"/>
    <x v="2"/>
    <x v="2"/>
  </r>
  <r>
    <n v="2022"/>
    <n v="7"/>
    <x v="291"/>
    <x v="10"/>
    <x v="10"/>
    <x v="17"/>
    <x v="2"/>
    <x v="4"/>
    <x v="4"/>
    <x v="2"/>
    <x v="255"/>
  </r>
  <r>
    <n v="2022"/>
    <n v="7"/>
    <x v="292"/>
    <x v="10"/>
    <x v="10"/>
    <x v="15"/>
    <x v="24"/>
    <x v="4"/>
    <x v="220"/>
    <x v="249"/>
    <x v="256"/>
  </r>
  <r>
    <n v="2022"/>
    <n v="7"/>
    <x v="293"/>
    <x v="10"/>
    <x v="10"/>
    <x v="15"/>
    <x v="24"/>
    <x v="5"/>
    <x v="221"/>
    <x v="250"/>
    <x v="257"/>
  </r>
  <r>
    <n v="2022"/>
    <n v="7"/>
    <x v="294"/>
    <x v="10"/>
    <x v="10"/>
    <x v="19"/>
    <x v="24"/>
    <x v="0"/>
    <x v="222"/>
    <x v="251"/>
    <x v="258"/>
  </r>
  <r>
    <n v="2022"/>
    <n v="7"/>
    <x v="295"/>
    <x v="10"/>
    <x v="10"/>
    <x v="15"/>
    <x v="3"/>
    <x v="0"/>
    <x v="223"/>
    <x v="252"/>
    <x v="259"/>
  </r>
  <r>
    <n v="2022"/>
    <n v="7"/>
    <x v="296"/>
    <x v="10"/>
    <x v="10"/>
    <x v="18"/>
    <x v="3"/>
    <x v="9"/>
    <x v="224"/>
    <x v="253"/>
    <x v="260"/>
  </r>
  <r>
    <n v="2022"/>
    <n v="7"/>
    <x v="297"/>
    <x v="10"/>
    <x v="10"/>
    <x v="17"/>
    <x v="3"/>
    <x v="4"/>
    <x v="225"/>
    <x v="254"/>
    <x v="261"/>
  </r>
  <r>
    <n v="2022"/>
    <n v="7"/>
    <x v="298"/>
    <x v="10"/>
    <x v="10"/>
    <x v="15"/>
    <x v="18"/>
    <x v="0"/>
    <x v="4"/>
    <x v="255"/>
    <x v="262"/>
  </r>
  <r>
    <n v="2022"/>
    <n v="7"/>
    <x v="299"/>
    <x v="10"/>
    <x v="10"/>
    <x v="15"/>
    <x v="18"/>
    <x v="4"/>
    <x v="4"/>
    <x v="2"/>
    <x v="263"/>
  </r>
  <r>
    <n v="2022"/>
    <n v="7"/>
    <x v="300"/>
    <x v="10"/>
    <x v="10"/>
    <x v="15"/>
    <x v="18"/>
    <x v="1"/>
    <x v="226"/>
    <x v="256"/>
    <x v="264"/>
  </r>
  <r>
    <n v="2022"/>
    <n v="7"/>
    <x v="301"/>
    <x v="10"/>
    <x v="0"/>
    <x v="18"/>
    <x v="4"/>
    <x v="0"/>
    <x v="227"/>
    <x v="257"/>
    <x v="265"/>
  </r>
  <r>
    <n v="2022"/>
    <n v="7"/>
    <x v="302"/>
    <x v="10"/>
    <x v="0"/>
    <x v="18"/>
    <x v="4"/>
    <x v="0"/>
    <x v="4"/>
    <x v="258"/>
    <x v="266"/>
  </r>
  <r>
    <n v="2022"/>
    <n v="7"/>
    <x v="303"/>
    <x v="10"/>
    <x v="10"/>
    <x v="15"/>
    <x v="4"/>
    <x v="0"/>
    <x v="228"/>
    <x v="259"/>
    <x v="267"/>
  </r>
  <r>
    <n v="2022"/>
    <n v="7"/>
    <x v="304"/>
    <x v="10"/>
    <x v="10"/>
    <x v="15"/>
    <x v="4"/>
    <x v="4"/>
    <x v="229"/>
    <x v="260"/>
    <x v="268"/>
  </r>
  <r>
    <n v="2022"/>
    <n v="7"/>
    <x v="305"/>
    <x v="10"/>
    <x v="10"/>
    <x v="15"/>
    <x v="4"/>
    <x v="4"/>
    <x v="230"/>
    <x v="261"/>
    <x v="269"/>
  </r>
  <r>
    <n v="2022"/>
    <n v="7"/>
    <x v="306"/>
    <x v="10"/>
    <x v="10"/>
    <x v="15"/>
    <x v="4"/>
    <x v="5"/>
    <x v="231"/>
    <x v="262"/>
    <x v="270"/>
  </r>
  <r>
    <n v="2022"/>
    <n v="7"/>
    <x v="307"/>
    <x v="10"/>
    <x v="10"/>
    <x v="18"/>
    <x v="4"/>
    <x v="9"/>
    <x v="4"/>
    <x v="263"/>
    <x v="271"/>
  </r>
  <r>
    <n v="2022"/>
    <n v="7"/>
    <x v="308"/>
    <x v="10"/>
    <x v="10"/>
    <x v="18"/>
    <x v="4"/>
    <x v="6"/>
    <x v="232"/>
    <x v="264"/>
    <x v="272"/>
  </r>
  <r>
    <n v="2022"/>
    <n v="7"/>
    <x v="309"/>
    <x v="10"/>
    <x v="10"/>
    <x v="17"/>
    <x v="4"/>
    <x v="0"/>
    <x v="233"/>
    <x v="265"/>
    <x v="273"/>
  </r>
  <r>
    <n v="2022"/>
    <n v="7"/>
    <x v="310"/>
    <x v="10"/>
    <x v="10"/>
    <x v="17"/>
    <x v="4"/>
    <x v="4"/>
    <x v="4"/>
    <x v="266"/>
    <x v="2"/>
  </r>
  <r>
    <n v="2022"/>
    <n v="7"/>
    <x v="311"/>
    <x v="10"/>
    <x v="10"/>
    <x v="17"/>
    <x v="4"/>
    <x v="4"/>
    <x v="234"/>
    <x v="267"/>
    <x v="274"/>
  </r>
  <r>
    <n v="2022"/>
    <n v="7"/>
    <x v="312"/>
    <x v="10"/>
    <x v="10"/>
    <x v="17"/>
    <x v="4"/>
    <x v="9"/>
    <x v="235"/>
    <x v="268"/>
    <x v="2"/>
  </r>
  <r>
    <n v="2022"/>
    <n v="7"/>
    <x v="313"/>
    <x v="10"/>
    <x v="10"/>
    <x v="15"/>
    <x v="7"/>
    <x v="4"/>
    <x v="4"/>
    <x v="269"/>
    <x v="275"/>
  </r>
  <r>
    <n v="2022"/>
    <n v="7"/>
    <x v="314"/>
    <x v="10"/>
    <x v="10"/>
    <x v="15"/>
    <x v="5"/>
    <x v="0"/>
    <x v="236"/>
    <x v="270"/>
    <x v="276"/>
  </r>
  <r>
    <n v="2022"/>
    <n v="7"/>
    <x v="315"/>
    <x v="10"/>
    <x v="0"/>
    <x v="18"/>
    <x v="6"/>
    <x v="0"/>
    <x v="4"/>
    <x v="271"/>
    <x v="277"/>
  </r>
  <r>
    <n v="2022"/>
    <n v="7"/>
    <x v="316"/>
    <x v="10"/>
    <x v="10"/>
    <x v="18"/>
    <x v="6"/>
    <x v="9"/>
    <x v="4"/>
    <x v="272"/>
    <x v="278"/>
  </r>
  <r>
    <n v="2022"/>
    <n v="7"/>
    <x v="317"/>
    <x v="10"/>
    <x v="10"/>
    <x v="16"/>
    <x v="9"/>
    <x v="0"/>
    <x v="4"/>
    <x v="273"/>
    <x v="279"/>
  </r>
  <r>
    <n v="2022"/>
    <n v="7"/>
    <x v="318"/>
    <x v="10"/>
    <x v="10"/>
    <x v="16"/>
    <x v="9"/>
    <x v="0"/>
    <x v="4"/>
    <x v="274"/>
    <x v="280"/>
  </r>
  <r>
    <n v="2022"/>
    <n v="7"/>
    <x v="319"/>
    <x v="10"/>
    <x v="10"/>
    <x v="16"/>
    <x v="9"/>
    <x v="4"/>
    <x v="237"/>
    <x v="275"/>
    <x v="281"/>
  </r>
  <r>
    <n v="2022"/>
    <n v="7"/>
    <x v="320"/>
    <x v="10"/>
    <x v="10"/>
    <x v="16"/>
    <x v="2"/>
    <x v="0"/>
    <x v="238"/>
    <x v="276"/>
    <x v="282"/>
  </r>
  <r>
    <n v="2022"/>
    <n v="7"/>
    <x v="321"/>
    <x v="10"/>
    <x v="10"/>
    <x v="16"/>
    <x v="2"/>
    <x v="0"/>
    <x v="239"/>
    <x v="277"/>
    <x v="283"/>
  </r>
  <r>
    <n v="2022"/>
    <n v="7"/>
    <x v="322"/>
    <x v="10"/>
    <x v="10"/>
    <x v="16"/>
    <x v="2"/>
    <x v="4"/>
    <x v="240"/>
    <x v="278"/>
    <x v="284"/>
  </r>
  <r>
    <n v="2022"/>
    <n v="7"/>
    <x v="323"/>
    <x v="10"/>
    <x v="10"/>
    <x v="16"/>
    <x v="24"/>
    <x v="0"/>
    <x v="241"/>
    <x v="279"/>
    <x v="285"/>
  </r>
  <r>
    <n v="2022"/>
    <n v="7"/>
    <x v="324"/>
    <x v="10"/>
    <x v="10"/>
    <x v="16"/>
    <x v="24"/>
    <x v="4"/>
    <x v="242"/>
    <x v="280"/>
    <x v="286"/>
  </r>
  <r>
    <n v="2022"/>
    <n v="7"/>
    <x v="325"/>
    <x v="10"/>
    <x v="10"/>
    <x v="16"/>
    <x v="18"/>
    <x v="4"/>
    <x v="4"/>
    <x v="281"/>
    <x v="287"/>
  </r>
  <r>
    <n v="2022"/>
    <n v="7"/>
    <x v="326"/>
    <x v="10"/>
    <x v="10"/>
    <x v="16"/>
    <x v="4"/>
    <x v="0"/>
    <x v="243"/>
    <x v="282"/>
    <x v="288"/>
  </r>
  <r>
    <n v="2022"/>
    <n v="7"/>
    <x v="327"/>
    <x v="10"/>
    <x v="10"/>
    <x v="16"/>
    <x v="4"/>
    <x v="4"/>
    <x v="244"/>
    <x v="283"/>
    <x v="289"/>
  </r>
  <r>
    <n v="2022"/>
    <n v="7"/>
    <x v="328"/>
    <x v="10"/>
    <x v="10"/>
    <x v="16"/>
    <x v="4"/>
    <x v="5"/>
    <x v="245"/>
    <x v="284"/>
    <x v="290"/>
  </r>
  <r>
    <n v="2022"/>
    <n v="7"/>
    <x v="329"/>
    <x v="10"/>
    <x v="10"/>
    <x v="16"/>
    <x v="7"/>
    <x v="0"/>
    <x v="4"/>
    <x v="285"/>
    <x v="291"/>
  </r>
  <r>
    <n v="2022"/>
    <n v="7"/>
    <x v="330"/>
    <x v="10"/>
    <x v="10"/>
    <x v="16"/>
    <x v="5"/>
    <x v="4"/>
    <x v="246"/>
    <x v="286"/>
    <x v="292"/>
  </r>
  <r>
    <n v="2022"/>
    <n v="7"/>
    <x v="331"/>
    <x v="10"/>
    <x v="10"/>
    <x v="16"/>
    <x v="6"/>
    <x v="0"/>
    <x v="247"/>
    <x v="287"/>
    <x v="293"/>
  </r>
  <r>
    <n v="2022"/>
    <n v="7"/>
    <x v="332"/>
    <x v="10"/>
    <x v="10"/>
    <x v="16"/>
    <x v="6"/>
    <x v="1"/>
    <x v="4"/>
    <x v="288"/>
    <x v="294"/>
  </r>
  <r>
    <n v="2022"/>
    <n v="7"/>
    <x v="333"/>
    <x v="11"/>
    <x v="5"/>
    <x v="0"/>
    <x v="0"/>
    <x v="0"/>
    <x v="248"/>
    <x v="289"/>
    <x v="295"/>
  </r>
  <r>
    <n v="2022"/>
    <n v="7"/>
    <x v="334"/>
    <x v="11"/>
    <x v="5"/>
    <x v="0"/>
    <x v="2"/>
    <x v="0"/>
    <x v="249"/>
    <x v="290"/>
    <x v="296"/>
  </r>
  <r>
    <n v="2022"/>
    <n v="7"/>
    <x v="335"/>
    <x v="11"/>
    <x v="5"/>
    <x v="0"/>
    <x v="3"/>
    <x v="0"/>
    <x v="4"/>
    <x v="291"/>
    <x v="297"/>
  </r>
  <r>
    <n v="2022"/>
    <n v="7"/>
    <x v="336"/>
    <x v="11"/>
    <x v="5"/>
    <x v="0"/>
    <x v="4"/>
    <x v="0"/>
    <x v="250"/>
    <x v="292"/>
    <x v="298"/>
  </r>
  <r>
    <n v="2022"/>
    <n v="7"/>
    <x v="337"/>
    <x v="11"/>
    <x v="5"/>
    <x v="5"/>
    <x v="4"/>
    <x v="0"/>
    <x v="251"/>
    <x v="293"/>
    <x v="299"/>
  </r>
  <r>
    <n v="2022"/>
    <n v="7"/>
    <x v="338"/>
    <x v="11"/>
    <x v="5"/>
    <x v="5"/>
    <x v="4"/>
    <x v="3"/>
    <x v="4"/>
    <x v="2"/>
    <x v="300"/>
  </r>
  <r>
    <n v="2022"/>
    <n v="7"/>
    <x v="339"/>
    <x v="11"/>
    <x v="5"/>
    <x v="0"/>
    <x v="20"/>
    <x v="0"/>
    <x v="252"/>
    <x v="294"/>
    <x v="301"/>
  </r>
  <r>
    <n v="2022"/>
    <n v="7"/>
    <x v="340"/>
    <x v="11"/>
    <x v="5"/>
    <x v="5"/>
    <x v="11"/>
    <x v="0"/>
    <x v="253"/>
    <x v="2"/>
    <x v="302"/>
  </r>
  <r>
    <n v="2022"/>
    <n v="7"/>
    <x v="341"/>
    <x v="11"/>
    <x v="5"/>
    <x v="5"/>
    <x v="11"/>
    <x v="4"/>
    <x v="4"/>
    <x v="2"/>
    <x v="303"/>
  </r>
  <r>
    <n v="2022"/>
    <n v="7"/>
    <x v="342"/>
    <x v="11"/>
    <x v="5"/>
    <x v="5"/>
    <x v="11"/>
    <x v="9"/>
    <x v="4"/>
    <x v="295"/>
    <x v="2"/>
  </r>
  <r>
    <n v="2022"/>
    <n v="7"/>
    <x v="343"/>
    <x v="11"/>
    <x v="5"/>
    <x v="5"/>
    <x v="27"/>
    <x v="0"/>
    <x v="254"/>
    <x v="2"/>
    <x v="2"/>
  </r>
  <r>
    <n v="2022"/>
    <n v="7"/>
    <x v="344"/>
    <x v="11"/>
    <x v="5"/>
    <x v="5"/>
    <x v="8"/>
    <x v="0"/>
    <x v="4"/>
    <x v="296"/>
    <x v="304"/>
  </r>
  <r>
    <n v="2022"/>
    <n v="7"/>
    <x v="345"/>
    <x v="11"/>
    <x v="5"/>
    <x v="0"/>
    <x v="28"/>
    <x v="2"/>
    <x v="255"/>
    <x v="297"/>
    <x v="2"/>
  </r>
  <r>
    <n v="2022"/>
    <n v="7"/>
    <x v="346"/>
    <x v="11"/>
    <x v="5"/>
    <x v="0"/>
    <x v="2"/>
    <x v="2"/>
    <x v="256"/>
    <x v="2"/>
    <x v="305"/>
  </r>
  <r>
    <n v="2022"/>
    <n v="7"/>
    <x v="347"/>
    <x v="11"/>
    <x v="5"/>
    <x v="0"/>
    <x v="4"/>
    <x v="0"/>
    <x v="4"/>
    <x v="298"/>
    <x v="306"/>
  </r>
  <r>
    <n v="2022"/>
    <n v="7"/>
    <x v="348"/>
    <x v="11"/>
    <x v="5"/>
    <x v="0"/>
    <x v="4"/>
    <x v="2"/>
    <x v="4"/>
    <x v="299"/>
    <x v="307"/>
  </r>
  <r>
    <n v="2022"/>
    <n v="7"/>
    <x v="349"/>
    <x v="11"/>
    <x v="5"/>
    <x v="0"/>
    <x v="4"/>
    <x v="2"/>
    <x v="4"/>
    <x v="300"/>
    <x v="308"/>
  </r>
  <r>
    <n v="2022"/>
    <n v="7"/>
    <x v="350"/>
    <x v="11"/>
    <x v="5"/>
    <x v="0"/>
    <x v="4"/>
    <x v="2"/>
    <x v="257"/>
    <x v="301"/>
    <x v="309"/>
  </r>
  <r>
    <n v="2022"/>
    <n v="7"/>
    <x v="351"/>
    <x v="11"/>
    <x v="5"/>
    <x v="0"/>
    <x v="4"/>
    <x v="2"/>
    <x v="4"/>
    <x v="2"/>
    <x v="310"/>
  </r>
  <r>
    <n v="2022"/>
    <n v="7"/>
    <x v="352"/>
    <x v="11"/>
    <x v="5"/>
    <x v="0"/>
    <x v="4"/>
    <x v="3"/>
    <x v="258"/>
    <x v="302"/>
    <x v="311"/>
  </r>
  <r>
    <n v="2022"/>
    <n v="7"/>
    <x v="353"/>
    <x v="11"/>
    <x v="5"/>
    <x v="0"/>
    <x v="20"/>
    <x v="2"/>
    <x v="259"/>
    <x v="303"/>
    <x v="312"/>
  </r>
  <r>
    <n v="2022"/>
    <n v="7"/>
    <x v="354"/>
    <x v="11"/>
    <x v="5"/>
    <x v="0"/>
    <x v="11"/>
    <x v="2"/>
    <x v="4"/>
    <x v="2"/>
    <x v="313"/>
  </r>
  <r>
    <n v="2022"/>
    <n v="7"/>
    <x v="355"/>
    <x v="11"/>
    <x v="5"/>
    <x v="0"/>
    <x v="11"/>
    <x v="2"/>
    <x v="4"/>
    <x v="304"/>
    <x v="314"/>
  </r>
  <r>
    <n v="2022"/>
    <n v="7"/>
    <x v="356"/>
    <x v="12"/>
    <x v="0"/>
    <x v="0"/>
    <x v="0"/>
    <x v="0"/>
    <x v="260"/>
    <x v="305"/>
    <x v="315"/>
  </r>
  <r>
    <n v="2022"/>
    <n v="7"/>
    <x v="357"/>
    <x v="12"/>
    <x v="0"/>
    <x v="0"/>
    <x v="2"/>
    <x v="0"/>
    <x v="4"/>
    <x v="306"/>
    <x v="316"/>
  </r>
  <r>
    <n v="2022"/>
    <n v="7"/>
    <x v="358"/>
    <x v="12"/>
    <x v="0"/>
    <x v="0"/>
    <x v="3"/>
    <x v="0"/>
    <x v="4"/>
    <x v="307"/>
    <x v="317"/>
  </r>
  <r>
    <n v="2022"/>
    <n v="7"/>
    <x v="359"/>
    <x v="12"/>
    <x v="0"/>
    <x v="0"/>
    <x v="4"/>
    <x v="0"/>
    <x v="261"/>
    <x v="308"/>
    <x v="318"/>
  </r>
  <r>
    <n v="2022"/>
    <n v="7"/>
    <x v="360"/>
    <x v="12"/>
    <x v="11"/>
    <x v="20"/>
    <x v="4"/>
    <x v="0"/>
    <x v="262"/>
    <x v="309"/>
    <x v="319"/>
  </r>
  <r>
    <n v="2022"/>
    <n v="7"/>
    <x v="361"/>
    <x v="12"/>
    <x v="11"/>
    <x v="20"/>
    <x v="4"/>
    <x v="0"/>
    <x v="263"/>
    <x v="310"/>
    <x v="320"/>
  </r>
  <r>
    <n v="2022"/>
    <n v="7"/>
    <x v="362"/>
    <x v="12"/>
    <x v="12"/>
    <x v="21"/>
    <x v="4"/>
    <x v="0"/>
    <x v="4"/>
    <x v="311"/>
    <x v="321"/>
  </r>
  <r>
    <n v="2022"/>
    <n v="7"/>
    <x v="363"/>
    <x v="12"/>
    <x v="13"/>
    <x v="22"/>
    <x v="4"/>
    <x v="0"/>
    <x v="264"/>
    <x v="312"/>
    <x v="322"/>
  </r>
  <r>
    <n v="2022"/>
    <n v="7"/>
    <x v="364"/>
    <x v="12"/>
    <x v="12"/>
    <x v="21"/>
    <x v="6"/>
    <x v="0"/>
    <x v="4"/>
    <x v="2"/>
    <x v="323"/>
  </r>
  <r>
    <n v="2022"/>
    <n v="7"/>
    <x v="365"/>
    <x v="13"/>
    <x v="14"/>
    <x v="23"/>
    <x v="0"/>
    <x v="0"/>
    <x v="265"/>
    <x v="313"/>
    <x v="324"/>
  </r>
  <r>
    <n v="2022"/>
    <n v="7"/>
    <x v="366"/>
    <x v="13"/>
    <x v="14"/>
    <x v="23"/>
    <x v="0"/>
    <x v="9"/>
    <x v="266"/>
    <x v="314"/>
    <x v="325"/>
  </r>
  <r>
    <n v="2022"/>
    <n v="7"/>
    <x v="367"/>
    <x v="13"/>
    <x v="14"/>
    <x v="23"/>
    <x v="26"/>
    <x v="0"/>
    <x v="267"/>
    <x v="315"/>
    <x v="326"/>
  </r>
  <r>
    <n v="2022"/>
    <n v="7"/>
    <x v="368"/>
    <x v="13"/>
    <x v="14"/>
    <x v="23"/>
    <x v="17"/>
    <x v="0"/>
    <x v="268"/>
    <x v="316"/>
    <x v="327"/>
  </r>
  <r>
    <n v="2022"/>
    <n v="7"/>
    <x v="369"/>
    <x v="13"/>
    <x v="14"/>
    <x v="23"/>
    <x v="2"/>
    <x v="0"/>
    <x v="269"/>
    <x v="317"/>
    <x v="328"/>
  </r>
  <r>
    <n v="2022"/>
    <n v="7"/>
    <x v="370"/>
    <x v="13"/>
    <x v="14"/>
    <x v="23"/>
    <x v="2"/>
    <x v="0"/>
    <x v="270"/>
    <x v="318"/>
    <x v="329"/>
  </r>
  <r>
    <n v="2022"/>
    <n v="7"/>
    <x v="371"/>
    <x v="13"/>
    <x v="14"/>
    <x v="23"/>
    <x v="2"/>
    <x v="7"/>
    <x v="271"/>
    <x v="2"/>
    <x v="2"/>
  </r>
  <r>
    <n v="2022"/>
    <n v="7"/>
    <x v="372"/>
    <x v="13"/>
    <x v="14"/>
    <x v="23"/>
    <x v="3"/>
    <x v="0"/>
    <x v="4"/>
    <x v="319"/>
    <x v="330"/>
  </r>
  <r>
    <n v="2022"/>
    <n v="7"/>
    <x v="373"/>
    <x v="13"/>
    <x v="14"/>
    <x v="23"/>
    <x v="3"/>
    <x v="0"/>
    <x v="4"/>
    <x v="320"/>
    <x v="331"/>
  </r>
  <r>
    <n v="2022"/>
    <n v="7"/>
    <x v="374"/>
    <x v="13"/>
    <x v="14"/>
    <x v="23"/>
    <x v="4"/>
    <x v="0"/>
    <x v="272"/>
    <x v="321"/>
    <x v="332"/>
  </r>
  <r>
    <n v="2022"/>
    <n v="7"/>
    <x v="375"/>
    <x v="13"/>
    <x v="14"/>
    <x v="23"/>
    <x v="4"/>
    <x v="0"/>
    <x v="273"/>
    <x v="322"/>
    <x v="333"/>
  </r>
  <r>
    <n v="2022"/>
    <n v="7"/>
    <x v="376"/>
    <x v="13"/>
    <x v="14"/>
    <x v="23"/>
    <x v="6"/>
    <x v="0"/>
    <x v="274"/>
    <x v="323"/>
    <x v="334"/>
  </r>
  <r>
    <n v="2022"/>
    <n v="7"/>
    <x v="377"/>
    <x v="14"/>
    <x v="0"/>
    <x v="0"/>
    <x v="0"/>
    <x v="0"/>
    <x v="275"/>
    <x v="324"/>
    <x v="335"/>
  </r>
  <r>
    <n v="2022"/>
    <n v="7"/>
    <x v="378"/>
    <x v="14"/>
    <x v="15"/>
    <x v="24"/>
    <x v="12"/>
    <x v="0"/>
    <x v="276"/>
    <x v="325"/>
    <x v="336"/>
  </r>
  <r>
    <n v="2022"/>
    <n v="7"/>
    <x v="379"/>
    <x v="14"/>
    <x v="0"/>
    <x v="0"/>
    <x v="13"/>
    <x v="0"/>
    <x v="277"/>
    <x v="326"/>
    <x v="337"/>
  </r>
  <r>
    <n v="2022"/>
    <n v="7"/>
    <x v="380"/>
    <x v="14"/>
    <x v="0"/>
    <x v="0"/>
    <x v="29"/>
    <x v="0"/>
    <x v="278"/>
    <x v="327"/>
    <x v="338"/>
  </r>
  <r>
    <n v="2022"/>
    <n v="7"/>
    <x v="381"/>
    <x v="14"/>
    <x v="0"/>
    <x v="0"/>
    <x v="14"/>
    <x v="0"/>
    <x v="279"/>
    <x v="328"/>
    <x v="339"/>
  </r>
  <r>
    <n v="2022"/>
    <n v="7"/>
    <x v="382"/>
    <x v="14"/>
    <x v="15"/>
    <x v="24"/>
    <x v="12"/>
    <x v="0"/>
    <x v="280"/>
    <x v="329"/>
    <x v="340"/>
  </r>
  <r>
    <n v="2022"/>
    <n v="7"/>
    <x v="383"/>
    <x v="14"/>
    <x v="15"/>
    <x v="24"/>
    <x v="12"/>
    <x v="4"/>
    <x v="281"/>
    <x v="330"/>
    <x v="2"/>
  </r>
  <r>
    <n v="2022"/>
    <n v="7"/>
    <x v="384"/>
    <x v="14"/>
    <x v="16"/>
    <x v="25"/>
    <x v="30"/>
    <x v="0"/>
    <x v="4"/>
    <x v="331"/>
    <x v="341"/>
  </r>
  <r>
    <n v="2022"/>
    <n v="7"/>
    <x v="385"/>
    <x v="14"/>
    <x v="16"/>
    <x v="25"/>
    <x v="30"/>
    <x v="0"/>
    <x v="4"/>
    <x v="332"/>
    <x v="342"/>
  </r>
  <r>
    <n v="2022"/>
    <n v="7"/>
    <x v="386"/>
    <x v="14"/>
    <x v="16"/>
    <x v="25"/>
    <x v="31"/>
    <x v="0"/>
    <x v="4"/>
    <x v="333"/>
    <x v="343"/>
  </r>
  <r>
    <n v="2022"/>
    <n v="7"/>
    <x v="387"/>
    <x v="14"/>
    <x v="16"/>
    <x v="25"/>
    <x v="31"/>
    <x v="8"/>
    <x v="282"/>
    <x v="2"/>
    <x v="2"/>
  </r>
  <r>
    <n v="2022"/>
    <n v="7"/>
    <x v="388"/>
    <x v="14"/>
    <x v="0"/>
    <x v="0"/>
    <x v="16"/>
    <x v="0"/>
    <x v="283"/>
    <x v="334"/>
    <x v="344"/>
  </r>
  <r>
    <n v="2022"/>
    <n v="7"/>
    <x v="389"/>
    <x v="14"/>
    <x v="0"/>
    <x v="0"/>
    <x v="4"/>
    <x v="0"/>
    <x v="284"/>
    <x v="335"/>
    <x v="345"/>
  </r>
  <r>
    <n v="2022"/>
    <n v="7"/>
    <x v="390"/>
    <x v="14"/>
    <x v="0"/>
    <x v="0"/>
    <x v="4"/>
    <x v="0"/>
    <x v="285"/>
    <x v="336"/>
    <x v="346"/>
  </r>
  <r>
    <n v="2022"/>
    <n v="7"/>
    <x v="391"/>
    <x v="14"/>
    <x v="0"/>
    <x v="0"/>
    <x v="19"/>
    <x v="0"/>
    <x v="286"/>
    <x v="337"/>
    <x v="347"/>
  </r>
  <r>
    <n v="2022"/>
    <n v="7"/>
    <x v="392"/>
    <x v="14"/>
    <x v="0"/>
    <x v="0"/>
    <x v="32"/>
    <x v="8"/>
    <x v="287"/>
    <x v="338"/>
    <x v="348"/>
  </r>
  <r>
    <n v="2022"/>
    <n v="7"/>
    <x v="393"/>
    <x v="14"/>
    <x v="0"/>
    <x v="0"/>
    <x v="29"/>
    <x v="0"/>
    <x v="288"/>
    <x v="339"/>
    <x v="349"/>
  </r>
  <r>
    <n v="2022"/>
    <n v="7"/>
    <x v="394"/>
    <x v="14"/>
    <x v="0"/>
    <x v="0"/>
    <x v="8"/>
    <x v="0"/>
    <x v="289"/>
    <x v="340"/>
    <x v="350"/>
  </r>
  <r>
    <n v="2022"/>
    <n v="7"/>
    <x v="395"/>
    <x v="14"/>
    <x v="0"/>
    <x v="0"/>
    <x v="20"/>
    <x v="0"/>
    <x v="290"/>
    <x v="341"/>
    <x v="351"/>
  </r>
  <r>
    <n v="2022"/>
    <n v="7"/>
    <x v="396"/>
    <x v="14"/>
    <x v="0"/>
    <x v="0"/>
    <x v="20"/>
    <x v="0"/>
    <x v="291"/>
    <x v="342"/>
    <x v="352"/>
  </r>
  <r>
    <n v="2022"/>
    <n v="7"/>
    <x v="397"/>
    <x v="14"/>
    <x v="16"/>
    <x v="25"/>
    <x v="33"/>
    <x v="0"/>
    <x v="4"/>
    <x v="343"/>
    <x v="353"/>
  </r>
  <r>
    <n v="2022"/>
    <n v="7"/>
    <x v="398"/>
    <x v="14"/>
    <x v="16"/>
    <x v="25"/>
    <x v="33"/>
    <x v="2"/>
    <x v="4"/>
    <x v="344"/>
    <x v="354"/>
  </r>
  <r>
    <n v="2022"/>
    <n v="7"/>
    <x v="399"/>
    <x v="14"/>
    <x v="16"/>
    <x v="25"/>
    <x v="33"/>
    <x v="8"/>
    <x v="4"/>
    <x v="345"/>
    <x v="355"/>
  </r>
  <r>
    <n v="2022"/>
    <n v="7"/>
    <x v="400"/>
    <x v="14"/>
    <x v="16"/>
    <x v="25"/>
    <x v="33"/>
    <x v="0"/>
    <x v="4"/>
    <x v="346"/>
    <x v="356"/>
  </r>
  <r>
    <n v="2022"/>
    <n v="7"/>
    <x v="401"/>
    <x v="14"/>
    <x v="16"/>
    <x v="25"/>
    <x v="34"/>
    <x v="0"/>
    <x v="4"/>
    <x v="347"/>
    <x v="357"/>
  </r>
  <r>
    <n v="2022"/>
    <n v="7"/>
    <x v="402"/>
    <x v="14"/>
    <x v="16"/>
    <x v="25"/>
    <x v="34"/>
    <x v="8"/>
    <x v="292"/>
    <x v="348"/>
    <x v="358"/>
  </r>
  <r>
    <m/>
    <m/>
    <x v="403"/>
    <x v="15"/>
    <x v="17"/>
    <x v="26"/>
    <x v="35"/>
    <x v="10"/>
    <x v="293"/>
    <x v="349"/>
    <x v="35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B19" firstHeaderRow="1" firstDataRow="1" firstDataCol="1" rowPageCount="1" colPageCount="1"/>
  <pivotFields count="11">
    <pivotField showAll="0"/>
    <pivotField showAll="0"/>
    <pivotField showAll="0"/>
    <pivotField axis="axisRow" multipleItemSelectionAllowed="1" showAll="0">
      <items count="17">
        <item x="14"/>
        <item x="0"/>
        <item x="2"/>
        <item x="8"/>
        <item x="6"/>
        <item x="7"/>
        <item x="3"/>
        <item x="5"/>
        <item x="1"/>
        <item x="12"/>
        <item x="9"/>
        <item x="11"/>
        <item x="13"/>
        <item x="10"/>
        <item x="4"/>
        <item h="1" x="15"/>
        <item t="default"/>
      </items>
    </pivotField>
    <pivotField multipleItemSelectionAllowed="1" showAll="0">
      <items count="19">
        <item x="0"/>
        <item x="8"/>
        <item x="12"/>
        <item x="13"/>
        <item x="7"/>
        <item x="1"/>
        <item x="2"/>
        <item x="6"/>
        <item x="16"/>
        <item x="4"/>
        <item x="15"/>
        <item x="9"/>
        <item x="10"/>
        <item x="14"/>
        <item x="11"/>
        <item x="5"/>
        <item x="3"/>
        <item h="1" x="17"/>
        <item t="default"/>
      </items>
    </pivotField>
    <pivotField showAll="0">
      <items count="28">
        <item x="0"/>
        <item x="9"/>
        <item x="12"/>
        <item x="16"/>
        <item x="15"/>
        <item x="21"/>
        <item x="11"/>
        <item x="1"/>
        <item x="10"/>
        <item x="2"/>
        <item x="8"/>
        <item x="7"/>
        <item x="20"/>
        <item x="6"/>
        <item x="5"/>
        <item x="3"/>
        <item x="23"/>
        <item x="4"/>
        <item x="24"/>
        <item x="14"/>
        <item x="25"/>
        <item x="13"/>
        <item x="19"/>
        <item x="22"/>
        <item x="17"/>
        <item x="18"/>
        <item h="1" x="26"/>
        <item t="default"/>
      </items>
    </pivotField>
    <pivotField axis="axisPage" multipleItemSelectionAllowed="1" showAll="0">
      <items count="37">
        <item x="27"/>
        <item x="19"/>
        <item x="25"/>
        <item x="22"/>
        <item x="1"/>
        <item x="28"/>
        <item x="8"/>
        <item x="17"/>
        <item x="6"/>
        <item x="20"/>
        <item x="14"/>
        <item x="30"/>
        <item x="31"/>
        <item x="18"/>
        <item x="2"/>
        <item x="24"/>
        <item x="11"/>
        <item x="12"/>
        <item x="32"/>
        <item x="23"/>
        <item x="13"/>
        <item x="5"/>
        <item x="16"/>
        <item x="4"/>
        <item x="21"/>
        <item x="3"/>
        <item x="9"/>
        <item x="33"/>
        <item x="34"/>
        <item x="10"/>
        <item x="26"/>
        <item x="29"/>
        <item x="7"/>
        <item x="15"/>
        <item x="0"/>
        <item h="1" x="35"/>
        <item t="default"/>
      </items>
    </pivotField>
    <pivotField showAll="0"/>
    <pivotField showAll="0"/>
    <pivotField showAll="0">
      <items count="351">
        <item x="329"/>
        <item x="92"/>
        <item x="178"/>
        <item x="2"/>
        <item x="59"/>
        <item x="210"/>
        <item x="69"/>
        <item x="63"/>
        <item x="188"/>
        <item x="41"/>
        <item x="17"/>
        <item x="187"/>
        <item x="37"/>
        <item x="56"/>
        <item x="303"/>
        <item x="168"/>
        <item x="247"/>
        <item x="11"/>
        <item x="180"/>
        <item x="341"/>
        <item x="251"/>
        <item x="52"/>
        <item x="268"/>
        <item x="306"/>
        <item x="107"/>
        <item x="156"/>
        <item x="68"/>
        <item x="54"/>
        <item x="198"/>
        <item x="60"/>
        <item x="309"/>
        <item x="50"/>
        <item x="203"/>
        <item x="290"/>
        <item x="57"/>
        <item x="84"/>
        <item x="135"/>
        <item x="53"/>
        <item x="162"/>
        <item x="264"/>
        <item x="222"/>
        <item x="316"/>
        <item x="200"/>
        <item x="340"/>
        <item x="192"/>
        <item x="266"/>
        <item x="24"/>
        <item x="31"/>
        <item x="317"/>
        <item x="321"/>
        <item x="184"/>
        <item x="320"/>
        <item x="319"/>
        <item x="13"/>
        <item x="248"/>
        <item x="263"/>
        <item x="265"/>
        <item x="139"/>
        <item x="101"/>
        <item x="64"/>
        <item x="206"/>
        <item x="127"/>
        <item x="35"/>
        <item x="234"/>
        <item x="233"/>
        <item x="32"/>
        <item x="114"/>
        <item x="205"/>
        <item x="261"/>
        <item x="194"/>
        <item x="310"/>
        <item x="66"/>
        <item x="298"/>
        <item x="225"/>
        <item x="4"/>
        <item x="214"/>
        <item x="244"/>
        <item x="160"/>
        <item x="211"/>
        <item x="307"/>
        <item x="182"/>
        <item x="26"/>
        <item x="314"/>
        <item x="256"/>
        <item x="272"/>
        <item x="286"/>
        <item x="253"/>
        <item x="159"/>
        <item x="38"/>
        <item x="301"/>
        <item x="271"/>
        <item x="262"/>
        <item x="171"/>
        <item x="281"/>
        <item x="47"/>
        <item x="112"/>
        <item x="240"/>
        <item x="39"/>
        <item x="82"/>
        <item x="252"/>
        <item x="115"/>
        <item x="235"/>
        <item x="231"/>
        <item x="291"/>
        <item x="196"/>
        <item x="308"/>
        <item x="138"/>
        <item x="254"/>
        <item x="158"/>
        <item x="120"/>
        <item x="241"/>
        <item x="219"/>
        <item x="179"/>
        <item x="147"/>
        <item x="201"/>
        <item x="21"/>
        <item x="27"/>
        <item x="30"/>
        <item x="249"/>
        <item x="190"/>
        <item x="3"/>
        <item x="311"/>
        <item x="79"/>
        <item x="267"/>
        <item x="227"/>
        <item x="14"/>
        <item x="270"/>
        <item x="174"/>
        <item x="170"/>
        <item x="134"/>
        <item x="86"/>
        <item x="51"/>
        <item x="191"/>
        <item x="199"/>
        <item x="258"/>
        <item x="213"/>
        <item x="55"/>
        <item x="78"/>
        <item x="185"/>
        <item x="334"/>
        <item x="312"/>
        <item x="323"/>
        <item x="221"/>
        <item x="224"/>
        <item x="304"/>
        <item x="48"/>
        <item x="288"/>
        <item x="16"/>
        <item x="166"/>
        <item x="181"/>
        <item x="94"/>
        <item x="65"/>
        <item x="20"/>
        <item x="102"/>
        <item x="0"/>
        <item x="108"/>
        <item x="295"/>
        <item x="118"/>
        <item x="74"/>
        <item x="223"/>
        <item x="45"/>
        <item x="67"/>
        <item x="80"/>
        <item x="212"/>
        <item x="157"/>
        <item x="28"/>
        <item x="300"/>
        <item x="15"/>
        <item x="197"/>
        <item x="145"/>
        <item x="70"/>
        <item x="95"/>
        <item x="34"/>
        <item x="339"/>
        <item x="81"/>
        <item x="277"/>
        <item x="154"/>
        <item x="176"/>
        <item x="33"/>
        <item x="148"/>
        <item x="161"/>
        <item x="113"/>
        <item x="110"/>
        <item x="250"/>
        <item x="163"/>
        <item x="189"/>
        <item x="126"/>
        <item x="117"/>
        <item x="183"/>
        <item x="141"/>
        <item x="12"/>
        <item x="43"/>
        <item x="297"/>
        <item x="315"/>
        <item x="243"/>
        <item x="328"/>
        <item x="58"/>
        <item x="287"/>
        <item x="42"/>
        <item x="257"/>
        <item x="88"/>
        <item x="140"/>
        <item x="44"/>
        <item x="119"/>
        <item x="345"/>
        <item x="332"/>
        <item x="137"/>
        <item x="305"/>
        <item x="336"/>
        <item x="8"/>
        <item x="259"/>
        <item x="346"/>
        <item x="342"/>
        <item x="169"/>
        <item x="228"/>
        <item x="318"/>
        <item x="172"/>
        <item x="75"/>
        <item x="7"/>
        <item x="193"/>
        <item x="195"/>
        <item x="152"/>
        <item x="255"/>
        <item x="144"/>
        <item x="285"/>
        <item x="302"/>
        <item x="122"/>
        <item x="36"/>
        <item x="5"/>
        <item x="151"/>
        <item x="326"/>
        <item x="123"/>
        <item x="177"/>
        <item x="229"/>
        <item x="131"/>
        <item x="83"/>
        <item x="237"/>
        <item x="343"/>
        <item x="186"/>
        <item x="19"/>
        <item x="87"/>
        <item x="230"/>
        <item x="322"/>
        <item x="344"/>
        <item x="279"/>
        <item x="242"/>
        <item x="246"/>
        <item x="99"/>
        <item x="165"/>
        <item x="280"/>
        <item x="216"/>
        <item x="325"/>
        <item x="25"/>
        <item x="150"/>
        <item x="232"/>
        <item x="278"/>
        <item x="73"/>
        <item x="9"/>
        <item x="93"/>
        <item x="218"/>
        <item x="292"/>
        <item x="133"/>
        <item x="226"/>
        <item x="103"/>
        <item x="167"/>
        <item x="146"/>
        <item x="239"/>
        <item x="46"/>
        <item x="337"/>
        <item x="333"/>
        <item x="269"/>
        <item x="217"/>
        <item x="153"/>
        <item x="90"/>
        <item x="1"/>
        <item x="245"/>
        <item x="136"/>
        <item x="49"/>
        <item x="331"/>
        <item x="289"/>
        <item x="348"/>
        <item x="238"/>
        <item x="76"/>
        <item x="204"/>
        <item x="164"/>
        <item x="236"/>
        <item x="77"/>
        <item x="29"/>
        <item x="10"/>
        <item x="109"/>
        <item x="6"/>
        <item x="347"/>
        <item x="173"/>
        <item x="111"/>
        <item x="284"/>
        <item x="132"/>
        <item x="274"/>
        <item x="260"/>
        <item x="98"/>
        <item x="89"/>
        <item x="293"/>
        <item x="335"/>
        <item x="71"/>
        <item x="91"/>
        <item x="207"/>
        <item x="85"/>
        <item x="96"/>
        <item x="130"/>
        <item x="40"/>
        <item x="324"/>
        <item x="22"/>
        <item x="275"/>
        <item x="106"/>
        <item x="61"/>
        <item x="121"/>
        <item x="202"/>
        <item x="72"/>
        <item x="276"/>
        <item x="104"/>
        <item x="97"/>
        <item x="125"/>
        <item x="116"/>
        <item x="327"/>
        <item x="143"/>
        <item x="18"/>
        <item x="330"/>
        <item x="142"/>
        <item x="296"/>
        <item x="155"/>
        <item x="105"/>
        <item x="338"/>
        <item x="220"/>
        <item x="124"/>
        <item x="23"/>
        <item x="313"/>
        <item x="149"/>
        <item x="299"/>
        <item x="283"/>
        <item x="175"/>
        <item x="100"/>
        <item x="294"/>
        <item x="62"/>
        <item x="273"/>
        <item x="209"/>
        <item x="282"/>
        <item x="208"/>
        <item x="129"/>
        <item x="128"/>
        <item x="215"/>
        <item x="349"/>
        <item t="default"/>
      </items>
    </pivotField>
    <pivotField dataField="1" showAll="0">
      <items count="361">
        <item h="1" x="100"/>
        <item h="1" x="76"/>
        <item h="1" x="224"/>
        <item x="2"/>
        <item x="66"/>
        <item x="212"/>
        <item x="70"/>
        <item x="192"/>
        <item x="309"/>
        <item x="48"/>
        <item x="19"/>
        <item x="183"/>
        <item x="63"/>
        <item x="312"/>
        <item x="52"/>
        <item x="310"/>
        <item x="172"/>
        <item x="59"/>
        <item x="33"/>
        <item x="249"/>
        <item x="316"/>
        <item x="114"/>
        <item x="161"/>
        <item x="75"/>
        <item x="61"/>
        <item x="185"/>
        <item x="40"/>
        <item x="202"/>
        <item x="334"/>
        <item x="67"/>
        <item x="319"/>
        <item x="57"/>
        <item x="29"/>
        <item x="64"/>
        <item x="92"/>
        <item x="141"/>
        <item x="11"/>
        <item x="60"/>
        <item x="311"/>
        <item x="327"/>
        <item x="328"/>
        <item x="258"/>
        <item x="332"/>
        <item x="166"/>
        <item x="272"/>
        <item x="204"/>
        <item x="240"/>
        <item x="125"/>
        <item x="245"/>
        <item x="296"/>
        <item x="26"/>
        <item x="250"/>
        <item x="41"/>
        <item x="189"/>
        <item x="200"/>
        <item x="331"/>
        <item x="330"/>
        <item x="14"/>
        <item x="39"/>
        <item x="173"/>
        <item x="208"/>
        <item x="145"/>
        <item x="256"/>
        <item x="323"/>
        <item x="71"/>
        <item x="133"/>
        <item x="38"/>
        <item x="236"/>
        <item x="252"/>
        <item x="213"/>
        <item x="121"/>
        <item x="235"/>
        <item x="17"/>
        <item x="269"/>
        <item x="207"/>
        <item x="197"/>
        <item x="264"/>
        <item x="320"/>
        <item x="73"/>
        <item x="273"/>
        <item x="227"/>
        <item x="4"/>
        <item x="216"/>
        <item x="129"/>
        <item x="164"/>
        <item x="49"/>
        <item x="317"/>
        <item x="187"/>
        <item x="325"/>
        <item x="271"/>
        <item x="277"/>
        <item x="255"/>
        <item x="16"/>
        <item x="254"/>
        <item x="278"/>
        <item x="292"/>
        <item x="260"/>
        <item x="85"/>
        <item x="163"/>
        <item x="43"/>
        <item x="34"/>
        <item x="119"/>
        <item x="261"/>
        <item x="44"/>
        <item x="90"/>
        <item x="259"/>
        <item x="176"/>
        <item x="45"/>
        <item x="199"/>
        <item x="144"/>
        <item x="215"/>
        <item x="221"/>
        <item x="89"/>
        <item x="30"/>
        <item x="246"/>
        <item x="62"/>
        <item x="297"/>
        <item x="15"/>
        <item x="270"/>
        <item x="127"/>
        <item x="303"/>
        <item x="276"/>
        <item x="237"/>
        <item x="179"/>
        <item x="321"/>
        <item x="175"/>
        <item x="140"/>
        <item x="94"/>
        <item x="58"/>
        <item x="195"/>
        <item x="190"/>
        <item x="203"/>
        <item x="23"/>
        <item x="266"/>
        <item x="274"/>
        <item x="229"/>
        <item x="305"/>
        <item x="344"/>
        <item x="3"/>
        <item x="223"/>
        <item x="35"/>
        <item x="226"/>
        <item x="314"/>
        <item x="233"/>
        <item x="55"/>
        <item x="12"/>
        <item x="294"/>
        <item x="194"/>
        <item x="247"/>
        <item x="18"/>
        <item x="322"/>
        <item x="170"/>
        <item x="102"/>
        <item x="72"/>
        <item x="184"/>
        <item x="0"/>
        <item x="115"/>
        <item x="181"/>
        <item x="186"/>
        <item x="31"/>
        <item x="120"/>
        <item x="22"/>
        <item x="225"/>
        <item x="53"/>
        <item x="351"/>
        <item x="74"/>
        <item x="283"/>
        <item x="308"/>
        <item x="201"/>
        <item x="313"/>
        <item x="151"/>
        <item x="350"/>
        <item x="77"/>
        <item x="349"/>
        <item x="103"/>
        <item x="159"/>
        <item x="36"/>
        <item x="88"/>
        <item x="167"/>
        <item x="153"/>
        <item x="165"/>
        <item x="253"/>
        <item x="87"/>
        <item x="117"/>
        <item x="318"/>
        <item x="132"/>
        <item x="109"/>
        <item x="123"/>
        <item x="86"/>
        <item x="13"/>
        <item x="188"/>
        <item x="162"/>
        <item x="326"/>
        <item x="147"/>
        <item x="177"/>
        <item x="248"/>
        <item x="65"/>
        <item x="81"/>
        <item x="352"/>
        <item x="146"/>
        <item x="339"/>
        <item x="96"/>
        <item x="306"/>
        <item x="82"/>
        <item x="124"/>
        <item x="214"/>
        <item x="355"/>
        <item x="37"/>
        <item x="193"/>
        <item x="342"/>
        <item x="346"/>
        <item x="143"/>
        <item x="315"/>
        <item x="8"/>
        <item x="267"/>
        <item x="356"/>
        <item x="230"/>
        <item x="50"/>
        <item x="198"/>
        <item x="7"/>
        <item x="196"/>
        <item x="265"/>
        <item x="293"/>
        <item x="28"/>
        <item x="263"/>
        <item x="47"/>
        <item x="262"/>
        <item x="291"/>
        <item x="5"/>
        <item x="353"/>
        <item x="150"/>
        <item x="42"/>
        <item x="156"/>
        <item x="302"/>
        <item x="337"/>
        <item x="231"/>
        <item x="329"/>
        <item x="91"/>
        <item x="137"/>
        <item x="174"/>
        <item x="128"/>
        <item x="191"/>
        <item x="242"/>
        <item x="287"/>
        <item x="51"/>
        <item x="95"/>
        <item x="232"/>
        <item x="21"/>
        <item x="209"/>
        <item x="354"/>
        <item x="182"/>
        <item x="155"/>
        <item x="152"/>
        <item x="157"/>
        <item x="218"/>
        <item x="336"/>
        <item x="27"/>
        <item x="220"/>
        <item x="234"/>
        <item x="9"/>
        <item x="107"/>
        <item x="228"/>
        <item x="139"/>
        <item x="333"/>
        <item x="171"/>
        <item x="286"/>
        <item x="284"/>
        <item x="341"/>
        <item x="110"/>
        <item x="244"/>
        <item x="347"/>
        <item x="343"/>
        <item x="219"/>
        <item x="158"/>
        <item x="275"/>
        <item x="257"/>
        <item x="68"/>
        <item x="98"/>
        <item x="32"/>
        <item x="1"/>
        <item x="142"/>
        <item x="56"/>
        <item x="295"/>
        <item x="358"/>
        <item x="243"/>
        <item x="168"/>
        <item x="241"/>
        <item x="126"/>
        <item x="300"/>
        <item x="285"/>
        <item x="83"/>
        <item x="80"/>
        <item x="10"/>
        <item x="116"/>
        <item x="251"/>
        <item x="357"/>
        <item x="178"/>
        <item x="118"/>
        <item x="290"/>
        <item x="54"/>
        <item x="138"/>
        <item x="280"/>
        <item x="345"/>
        <item x="169"/>
        <item x="268"/>
        <item x="97"/>
        <item x="298"/>
        <item x="106"/>
        <item x="6"/>
        <item x="99"/>
        <item x="93"/>
        <item x="24"/>
        <item x="136"/>
        <item x="299"/>
        <item x="78"/>
        <item x="104"/>
        <item x="335"/>
        <item x="281"/>
        <item x="84"/>
        <item x="101"/>
        <item x="206"/>
        <item x="113"/>
        <item x="282"/>
        <item x="205"/>
        <item x="46"/>
        <item x="131"/>
        <item x="122"/>
        <item x="20"/>
        <item x="338"/>
        <item x="340"/>
        <item x="79"/>
        <item x="149"/>
        <item x="105"/>
        <item x="111"/>
        <item x="239"/>
        <item x="304"/>
        <item x="160"/>
        <item x="148"/>
        <item x="307"/>
        <item x="348"/>
        <item x="222"/>
        <item x="154"/>
        <item x="130"/>
        <item x="112"/>
        <item x="25"/>
        <item x="324"/>
        <item x="180"/>
        <item x="289"/>
        <item x="301"/>
        <item x="108"/>
        <item x="69"/>
        <item x="279"/>
        <item x="211"/>
        <item x="210"/>
        <item x="288"/>
        <item x="135"/>
        <item x="134"/>
        <item x="217"/>
        <item x="238"/>
        <item h="1" x="359"/>
        <item t="default"/>
      </items>
    </pivotField>
  </pivotFields>
  <rowFields count="1">
    <field x="3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pageFields count="1">
    <pageField fld="6" hier="-1"/>
  </pageFields>
  <dataFields count="1">
    <dataField name="Soma de Pago  (R$)" fld="10" baseField="3" baseItem="0"/>
  </dataField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19"/>
  <sheetViews>
    <sheetView workbookViewId="0">
      <selection activeCell="A3" sqref="A3"/>
    </sheetView>
  </sheetViews>
  <sheetFormatPr defaultRowHeight="15" x14ac:dyDescent="0.25"/>
  <cols>
    <col min="1" max="1" width="49.85546875" bestFit="1" customWidth="1"/>
    <col min="2" max="2" width="18" bestFit="1" customWidth="1"/>
  </cols>
  <sheetData>
    <row r="1" spans="1:2" x14ac:dyDescent="0.25">
      <c r="A1" s="2" t="s">
        <v>6</v>
      </c>
      <c r="B1" t="s">
        <v>520</v>
      </c>
    </row>
    <row r="3" spans="1:2" x14ac:dyDescent="0.25">
      <c r="A3" s="2" t="s">
        <v>517</v>
      </c>
      <c r="B3" t="s">
        <v>519</v>
      </c>
    </row>
    <row r="4" spans="1:2" x14ac:dyDescent="0.25">
      <c r="A4" s="3" t="s">
        <v>481</v>
      </c>
      <c r="B4" s="4">
        <v>15239660.58</v>
      </c>
    </row>
    <row r="5" spans="1:2" x14ac:dyDescent="0.25">
      <c r="A5" s="3" t="s">
        <v>12</v>
      </c>
      <c r="B5" s="4">
        <v>57822.52</v>
      </c>
    </row>
    <row r="6" spans="1:2" x14ac:dyDescent="0.25">
      <c r="A6" s="3" t="s">
        <v>37</v>
      </c>
      <c r="B6" s="4">
        <v>1100991.04</v>
      </c>
    </row>
    <row r="7" spans="1:2" x14ac:dyDescent="0.25">
      <c r="A7" s="3" t="s">
        <v>272</v>
      </c>
      <c r="B7" s="4">
        <v>7650710.8700000001</v>
      </c>
    </row>
    <row r="8" spans="1:2" x14ac:dyDescent="0.25">
      <c r="A8" s="3" t="s">
        <v>111</v>
      </c>
      <c r="B8" s="4">
        <v>81497549.360000059</v>
      </c>
    </row>
    <row r="9" spans="1:2" x14ac:dyDescent="0.25">
      <c r="A9" s="3" t="s">
        <v>247</v>
      </c>
      <c r="B9" s="4">
        <v>6337413.4399999995</v>
      </c>
    </row>
    <row r="10" spans="1:2" x14ac:dyDescent="0.25">
      <c r="A10" s="3" t="s">
        <v>54</v>
      </c>
      <c r="B10" s="4">
        <v>6635553.6300000008</v>
      </c>
    </row>
    <row r="11" spans="1:2" x14ac:dyDescent="0.25">
      <c r="A11" s="3" t="s">
        <v>92</v>
      </c>
      <c r="B11" s="4">
        <v>4011097.09</v>
      </c>
    </row>
    <row r="12" spans="1:2" x14ac:dyDescent="0.25">
      <c r="A12" s="3" t="s">
        <v>18</v>
      </c>
      <c r="B12" s="4">
        <v>3038225.11</v>
      </c>
    </row>
    <row r="13" spans="1:2" x14ac:dyDescent="0.25">
      <c r="A13" s="3" t="s">
        <v>450</v>
      </c>
      <c r="B13" s="4">
        <v>433817.7</v>
      </c>
    </row>
    <row r="14" spans="1:2" x14ac:dyDescent="0.25">
      <c r="A14" s="3" t="s">
        <v>309</v>
      </c>
      <c r="B14" s="4">
        <v>19418410.300000004</v>
      </c>
    </row>
    <row r="15" spans="1:2" x14ac:dyDescent="0.25">
      <c r="A15" s="3" t="s">
        <v>424</v>
      </c>
      <c r="B15" s="4">
        <v>14349836.129999997</v>
      </c>
    </row>
    <row r="16" spans="1:2" x14ac:dyDescent="0.25">
      <c r="A16" s="3" t="s">
        <v>466</v>
      </c>
      <c r="B16" s="4">
        <v>4050889.84</v>
      </c>
    </row>
    <row r="17" spans="1:2" x14ac:dyDescent="0.25">
      <c r="A17" s="3" t="s">
        <v>327</v>
      </c>
      <c r="B17" s="4">
        <v>74636357.700000033</v>
      </c>
    </row>
    <row r="18" spans="1:2" x14ac:dyDescent="0.25">
      <c r="A18" s="3" t="s">
        <v>63</v>
      </c>
      <c r="B18" s="4">
        <v>1878602.14</v>
      </c>
    </row>
    <row r="19" spans="1:2" x14ac:dyDescent="0.25">
      <c r="A19" s="3" t="s">
        <v>518</v>
      </c>
      <c r="B19" s="4">
        <v>240336937.45000011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K404"/>
  <sheetViews>
    <sheetView zoomScale="70" zoomScaleNormal="70" workbookViewId="0">
      <selection activeCell="K1" sqref="K1:K1048576"/>
    </sheetView>
  </sheetViews>
  <sheetFormatPr defaultRowHeight="15" x14ac:dyDescent="0.25"/>
  <cols>
    <col min="1" max="1" width="5" bestFit="1" customWidth="1"/>
    <col min="2" max="2" width="4.7109375" bestFit="1" customWidth="1"/>
    <col min="3" max="3" width="39.85546875" bestFit="1" customWidth="1"/>
    <col min="4" max="4" width="32.28515625" customWidth="1"/>
    <col min="5" max="5" width="23" bestFit="1" customWidth="1"/>
    <col min="6" max="6" width="32.28515625" customWidth="1"/>
    <col min="7" max="7" width="74.140625" bestFit="1" customWidth="1"/>
    <col min="8" max="8" width="86" bestFit="1" customWidth="1"/>
    <col min="9" max="11" width="16.85546875" style="5" bestFit="1" customWidth="1"/>
  </cols>
  <sheetData>
    <row r="1" spans="1:1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6" t="s">
        <v>8</v>
      </c>
      <c r="J1" s="6" t="s">
        <v>9</v>
      </c>
      <c r="K1" s="6" t="s">
        <v>10</v>
      </c>
    </row>
    <row r="2" spans="1:11" x14ac:dyDescent="0.25">
      <c r="A2">
        <v>2022</v>
      </c>
      <c r="B2">
        <v>7</v>
      </c>
      <c r="C2" t="s">
        <v>480</v>
      </c>
      <c r="D2" t="s">
        <v>481</v>
      </c>
      <c r="E2" t="s">
        <v>13</v>
      </c>
      <c r="F2" t="s">
        <v>14</v>
      </c>
      <c r="G2" t="s">
        <v>15</v>
      </c>
      <c r="H2" t="s">
        <v>16</v>
      </c>
      <c r="I2" s="5">
        <v>1298678.49</v>
      </c>
      <c r="J2" s="5">
        <v>1298678.49</v>
      </c>
      <c r="K2" s="5">
        <v>1298678.49</v>
      </c>
    </row>
    <row r="3" spans="1:11" x14ac:dyDescent="0.25">
      <c r="A3">
        <v>2022</v>
      </c>
      <c r="B3">
        <v>7</v>
      </c>
      <c r="C3" t="s">
        <v>485</v>
      </c>
      <c r="D3" t="s">
        <v>481</v>
      </c>
      <c r="E3" t="s">
        <v>13</v>
      </c>
      <c r="F3" t="s">
        <v>14</v>
      </c>
      <c r="G3" t="s">
        <v>122</v>
      </c>
      <c r="H3" t="s">
        <v>16</v>
      </c>
      <c r="I3" s="5">
        <v>333939.74</v>
      </c>
      <c r="J3" s="5">
        <v>333939.74</v>
      </c>
      <c r="K3" s="5">
        <v>333939.74</v>
      </c>
    </row>
    <row r="4" spans="1:11" x14ac:dyDescent="0.25">
      <c r="A4">
        <v>2022</v>
      </c>
      <c r="B4">
        <v>7</v>
      </c>
      <c r="C4" t="s">
        <v>486</v>
      </c>
      <c r="D4" t="s">
        <v>481</v>
      </c>
      <c r="E4" t="s">
        <v>13</v>
      </c>
      <c r="F4" t="s">
        <v>14</v>
      </c>
      <c r="G4" t="s">
        <v>487</v>
      </c>
      <c r="H4" t="s">
        <v>16</v>
      </c>
      <c r="I4" s="5">
        <v>1920140</v>
      </c>
      <c r="J4" s="5">
        <v>1920140</v>
      </c>
      <c r="K4" s="5">
        <v>2012216.67</v>
      </c>
    </row>
    <row r="5" spans="1:11" x14ac:dyDescent="0.25">
      <c r="A5">
        <v>2022</v>
      </c>
      <c r="B5">
        <v>7</v>
      </c>
      <c r="C5" t="s">
        <v>488</v>
      </c>
      <c r="D5" t="s">
        <v>481</v>
      </c>
      <c r="E5" t="s">
        <v>13</v>
      </c>
      <c r="F5" t="s">
        <v>14</v>
      </c>
      <c r="G5" t="s">
        <v>124</v>
      </c>
      <c r="H5" t="s">
        <v>16</v>
      </c>
      <c r="I5" s="5">
        <v>161091.76</v>
      </c>
      <c r="J5" s="5">
        <v>161091.76</v>
      </c>
      <c r="K5" s="5">
        <v>176186.74</v>
      </c>
    </row>
    <row r="6" spans="1:11" x14ac:dyDescent="0.25">
      <c r="A6">
        <v>2022</v>
      </c>
      <c r="B6">
        <v>7</v>
      </c>
      <c r="C6" t="s">
        <v>499</v>
      </c>
      <c r="D6" t="s">
        <v>481</v>
      </c>
      <c r="E6" t="s">
        <v>13</v>
      </c>
      <c r="F6" t="s">
        <v>14</v>
      </c>
      <c r="G6" t="s">
        <v>136</v>
      </c>
      <c r="H6" t="s">
        <v>16</v>
      </c>
      <c r="I6" s="5">
        <v>42573.06</v>
      </c>
      <c r="J6" s="5">
        <v>42573.06</v>
      </c>
      <c r="K6" s="5">
        <v>42573.06</v>
      </c>
    </row>
    <row r="7" spans="1:11" x14ac:dyDescent="0.25">
      <c r="A7">
        <v>2022</v>
      </c>
      <c r="B7">
        <v>7</v>
      </c>
      <c r="C7" t="s">
        <v>500</v>
      </c>
      <c r="D7" t="s">
        <v>481</v>
      </c>
      <c r="E7" t="s">
        <v>13</v>
      </c>
      <c r="F7" t="s">
        <v>14</v>
      </c>
      <c r="G7" t="s">
        <v>26</v>
      </c>
      <c r="H7" t="s">
        <v>16</v>
      </c>
      <c r="I7" s="5">
        <v>767745</v>
      </c>
      <c r="J7" s="5">
        <v>1060306.93</v>
      </c>
      <c r="K7" s="5">
        <v>965209.96</v>
      </c>
    </row>
    <row r="8" spans="1:11" x14ac:dyDescent="0.25">
      <c r="A8">
        <v>2022</v>
      </c>
      <c r="B8">
        <v>7</v>
      </c>
      <c r="C8" t="s">
        <v>501</v>
      </c>
      <c r="D8" t="s">
        <v>481</v>
      </c>
      <c r="E8" t="s">
        <v>13</v>
      </c>
      <c r="F8" t="s">
        <v>14</v>
      </c>
      <c r="G8" t="s">
        <v>26</v>
      </c>
      <c r="H8" t="s">
        <v>16</v>
      </c>
      <c r="I8" s="5">
        <v>-47203.01</v>
      </c>
      <c r="J8" s="5">
        <v>210639.92</v>
      </c>
      <c r="K8" s="5">
        <v>205576.27</v>
      </c>
    </row>
    <row r="9" spans="1:11" x14ac:dyDescent="0.25">
      <c r="A9">
        <v>2022</v>
      </c>
      <c r="B9">
        <v>7</v>
      </c>
      <c r="C9" t="s">
        <v>502</v>
      </c>
      <c r="D9" t="s">
        <v>481</v>
      </c>
      <c r="E9" t="s">
        <v>13</v>
      </c>
      <c r="F9" t="s">
        <v>14</v>
      </c>
      <c r="G9" t="s">
        <v>187</v>
      </c>
      <c r="H9" t="s">
        <v>16</v>
      </c>
      <c r="I9" s="5">
        <v>614562</v>
      </c>
      <c r="J9" s="5">
        <v>614562</v>
      </c>
      <c r="K9" s="5">
        <v>614562</v>
      </c>
    </row>
    <row r="10" spans="1:11" x14ac:dyDescent="0.25">
      <c r="A10">
        <v>2022</v>
      </c>
      <c r="B10">
        <v>7</v>
      </c>
      <c r="C10" t="s">
        <v>503</v>
      </c>
      <c r="D10" t="s">
        <v>481</v>
      </c>
      <c r="E10" t="s">
        <v>13</v>
      </c>
      <c r="F10" t="s">
        <v>14</v>
      </c>
      <c r="G10" t="s">
        <v>504</v>
      </c>
      <c r="H10" t="s">
        <v>251</v>
      </c>
      <c r="I10" s="5">
        <v>2598102.2400000002</v>
      </c>
      <c r="J10" s="5">
        <v>2598102.2400000002</v>
      </c>
      <c r="K10" s="5">
        <v>2598102.2400000002</v>
      </c>
    </row>
    <row r="11" spans="1:11" x14ac:dyDescent="0.25">
      <c r="A11">
        <v>2022</v>
      </c>
      <c r="B11">
        <v>7</v>
      </c>
      <c r="C11" t="s">
        <v>505</v>
      </c>
      <c r="D11" t="s">
        <v>481</v>
      </c>
      <c r="E11" t="s">
        <v>13</v>
      </c>
      <c r="F11" t="s">
        <v>14</v>
      </c>
      <c r="G11" t="s">
        <v>487</v>
      </c>
      <c r="H11" t="s">
        <v>16</v>
      </c>
      <c r="I11" s="5">
        <v>87140.3</v>
      </c>
      <c r="J11" s="5">
        <v>87140.3</v>
      </c>
      <c r="K11" s="5">
        <v>87140.3</v>
      </c>
    </row>
    <row r="12" spans="1:11" x14ac:dyDescent="0.25">
      <c r="A12">
        <v>2022</v>
      </c>
      <c r="B12">
        <v>7</v>
      </c>
      <c r="C12" t="s">
        <v>506</v>
      </c>
      <c r="D12" t="s">
        <v>481</v>
      </c>
      <c r="E12" t="s">
        <v>13</v>
      </c>
      <c r="F12" t="s">
        <v>14</v>
      </c>
      <c r="G12" t="s">
        <v>52</v>
      </c>
      <c r="H12" t="s">
        <v>16</v>
      </c>
      <c r="I12" s="5">
        <v>100000</v>
      </c>
      <c r="J12" s="5">
        <v>3579.14</v>
      </c>
      <c r="K12" s="5">
        <v>83457.820000000007</v>
      </c>
    </row>
    <row r="13" spans="1:11" x14ac:dyDescent="0.25">
      <c r="A13">
        <v>2022</v>
      </c>
      <c r="B13">
        <v>7</v>
      </c>
      <c r="C13" t="s">
        <v>507</v>
      </c>
      <c r="D13" t="s">
        <v>481</v>
      </c>
      <c r="E13" t="s">
        <v>13</v>
      </c>
      <c r="F13" t="s">
        <v>14</v>
      </c>
      <c r="G13" t="s">
        <v>197</v>
      </c>
      <c r="H13" t="s">
        <v>16</v>
      </c>
      <c r="I13" s="5">
        <v>852.08</v>
      </c>
      <c r="J13" s="5">
        <v>852.08</v>
      </c>
      <c r="K13" s="5">
        <v>70068.84</v>
      </c>
    </row>
    <row r="14" spans="1:11" x14ac:dyDescent="0.25">
      <c r="A14">
        <v>2022</v>
      </c>
      <c r="B14">
        <v>7</v>
      </c>
      <c r="C14" t="s">
        <v>508</v>
      </c>
      <c r="D14" t="s">
        <v>481</v>
      </c>
      <c r="E14" t="s">
        <v>13</v>
      </c>
      <c r="F14" t="s">
        <v>14</v>
      </c>
      <c r="G14" t="s">
        <v>197</v>
      </c>
      <c r="H14" t="s">
        <v>16</v>
      </c>
      <c r="I14" s="5">
        <v>225178.99</v>
      </c>
      <c r="J14" s="5">
        <v>225178.99</v>
      </c>
      <c r="K14" s="5">
        <v>171669.76000000001</v>
      </c>
    </row>
    <row r="15" spans="1:11" x14ac:dyDescent="0.25">
      <c r="A15">
        <v>2022</v>
      </c>
      <c r="B15">
        <v>7</v>
      </c>
      <c r="C15" t="s">
        <v>491</v>
      </c>
      <c r="D15" t="s">
        <v>481</v>
      </c>
      <c r="E15" t="s">
        <v>492</v>
      </c>
      <c r="F15" t="s">
        <v>493</v>
      </c>
      <c r="G15" t="s">
        <v>494</v>
      </c>
      <c r="H15" t="s">
        <v>16</v>
      </c>
      <c r="I15" s="5">
        <v>0</v>
      </c>
      <c r="J15" s="5">
        <v>680139.49</v>
      </c>
      <c r="K15" s="5">
        <v>585390.31000000006</v>
      </c>
    </row>
    <row r="16" spans="1:11" x14ac:dyDescent="0.25">
      <c r="A16">
        <v>2022</v>
      </c>
      <c r="B16">
        <v>7</v>
      </c>
      <c r="C16" t="s">
        <v>495</v>
      </c>
      <c r="D16" t="s">
        <v>481</v>
      </c>
      <c r="E16" t="s">
        <v>492</v>
      </c>
      <c r="F16" t="s">
        <v>493</v>
      </c>
      <c r="G16" t="s">
        <v>494</v>
      </c>
      <c r="H16" t="s">
        <v>16</v>
      </c>
      <c r="I16" s="5">
        <v>0</v>
      </c>
      <c r="J16" s="5">
        <v>204045.03</v>
      </c>
      <c r="K16" s="5">
        <v>204045.03</v>
      </c>
    </row>
    <row r="17" spans="1:11" x14ac:dyDescent="0.25">
      <c r="A17">
        <v>2022</v>
      </c>
      <c r="B17">
        <v>7</v>
      </c>
      <c r="C17" t="s">
        <v>496</v>
      </c>
      <c r="D17" t="s">
        <v>481</v>
      </c>
      <c r="E17" t="s">
        <v>492</v>
      </c>
      <c r="F17" t="s">
        <v>493</v>
      </c>
      <c r="G17" t="s">
        <v>497</v>
      </c>
      <c r="H17" t="s">
        <v>16</v>
      </c>
      <c r="I17" s="5">
        <v>0</v>
      </c>
      <c r="J17" s="5">
        <v>614628.76</v>
      </c>
      <c r="K17" s="5">
        <v>614628.76</v>
      </c>
    </row>
    <row r="18" spans="1:11" x14ac:dyDescent="0.25">
      <c r="A18">
        <v>2022</v>
      </c>
      <c r="B18">
        <v>7</v>
      </c>
      <c r="C18" t="s">
        <v>498</v>
      </c>
      <c r="D18" t="s">
        <v>481</v>
      </c>
      <c r="E18" t="s">
        <v>492</v>
      </c>
      <c r="F18" t="s">
        <v>493</v>
      </c>
      <c r="G18" t="s">
        <v>497</v>
      </c>
      <c r="H18" t="s">
        <v>251</v>
      </c>
      <c r="I18" s="5">
        <v>70000</v>
      </c>
      <c r="J18" s="5">
        <v>0</v>
      </c>
      <c r="K18" s="5">
        <v>0</v>
      </c>
    </row>
    <row r="19" spans="1:11" x14ac:dyDescent="0.25">
      <c r="A19">
        <v>2022</v>
      </c>
      <c r="B19">
        <v>7</v>
      </c>
      <c r="C19" t="s">
        <v>509</v>
      </c>
      <c r="D19" t="s">
        <v>481</v>
      </c>
      <c r="E19" t="s">
        <v>492</v>
      </c>
      <c r="F19" t="s">
        <v>493</v>
      </c>
      <c r="G19" t="s">
        <v>510</v>
      </c>
      <c r="H19" t="s">
        <v>16</v>
      </c>
      <c r="I19" s="5">
        <v>0</v>
      </c>
      <c r="J19" s="5">
        <v>367331.5</v>
      </c>
      <c r="K19" s="5">
        <v>304426.74</v>
      </c>
    </row>
    <row r="20" spans="1:11" x14ac:dyDescent="0.25">
      <c r="A20">
        <v>2022</v>
      </c>
      <c r="B20">
        <v>7</v>
      </c>
      <c r="C20" t="s">
        <v>511</v>
      </c>
      <c r="D20" t="s">
        <v>481</v>
      </c>
      <c r="E20" t="s">
        <v>492</v>
      </c>
      <c r="F20" t="s">
        <v>493</v>
      </c>
      <c r="G20" t="s">
        <v>510</v>
      </c>
      <c r="H20" t="s">
        <v>45</v>
      </c>
      <c r="I20" s="5">
        <v>0</v>
      </c>
      <c r="J20" s="5">
        <v>422097.26</v>
      </c>
      <c r="K20" s="5">
        <v>422097.26</v>
      </c>
    </row>
    <row r="21" spans="1:11" x14ac:dyDescent="0.25">
      <c r="A21">
        <v>2022</v>
      </c>
      <c r="B21">
        <v>7</v>
      </c>
      <c r="C21" t="s">
        <v>512</v>
      </c>
      <c r="D21" t="s">
        <v>481</v>
      </c>
      <c r="E21" t="s">
        <v>492</v>
      </c>
      <c r="F21" t="s">
        <v>493</v>
      </c>
      <c r="G21" t="s">
        <v>510</v>
      </c>
      <c r="H21" t="s">
        <v>251</v>
      </c>
      <c r="I21" s="5">
        <v>0</v>
      </c>
      <c r="J21" s="5">
        <v>197438.46</v>
      </c>
      <c r="K21" s="5">
        <v>197438.46</v>
      </c>
    </row>
    <row r="22" spans="1:11" x14ac:dyDescent="0.25">
      <c r="A22">
        <v>2022</v>
      </c>
      <c r="B22">
        <v>7</v>
      </c>
      <c r="C22" t="s">
        <v>513</v>
      </c>
      <c r="D22" t="s">
        <v>481</v>
      </c>
      <c r="E22" t="s">
        <v>492</v>
      </c>
      <c r="F22" t="s">
        <v>493</v>
      </c>
      <c r="G22" t="s">
        <v>510</v>
      </c>
      <c r="H22" t="s">
        <v>16</v>
      </c>
      <c r="I22" s="5">
        <v>0</v>
      </c>
      <c r="J22" s="5">
        <v>223949.18</v>
      </c>
      <c r="K22" s="5">
        <v>223949.18</v>
      </c>
    </row>
    <row r="23" spans="1:11" x14ac:dyDescent="0.25">
      <c r="A23">
        <v>2022</v>
      </c>
      <c r="B23">
        <v>7</v>
      </c>
      <c r="C23" t="s">
        <v>514</v>
      </c>
      <c r="D23" t="s">
        <v>481</v>
      </c>
      <c r="E23" t="s">
        <v>492</v>
      </c>
      <c r="F23" t="s">
        <v>493</v>
      </c>
      <c r="G23" t="s">
        <v>515</v>
      </c>
      <c r="H23" t="s">
        <v>16</v>
      </c>
      <c r="I23" s="5">
        <v>0</v>
      </c>
      <c r="J23" s="5">
        <v>846624.08</v>
      </c>
      <c r="K23" s="5">
        <v>846624.08</v>
      </c>
    </row>
    <row r="24" spans="1:11" x14ac:dyDescent="0.25">
      <c r="A24">
        <v>2022</v>
      </c>
      <c r="B24">
        <v>7</v>
      </c>
      <c r="C24" t="s">
        <v>516</v>
      </c>
      <c r="D24" t="s">
        <v>481</v>
      </c>
      <c r="E24" t="s">
        <v>492</v>
      </c>
      <c r="F24" t="s">
        <v>493</v>
      </c>
      <c r="G24" t="s">
        <v>515</v>
      </c>
      <c r="H24" t="s">
        <v>251</v>
      </c>
      <c r="I24" s="5">
        <v>4149000</v>
      </c>
      <c r="J24" s="5">
        <v>691440.64000000001</v>
      </c>
      <c r="K24" s="5">
        <v>691440.64000000001</v>
      </c>
    </row>
    <row r="25" spans="1:11" x14ac:dyDescent="0.25">
      <c r="A25">
        <v>2022</v>
      </c>
      <c r="B25">
        <v>7</v>
      </c>
      <c r="C25" t="s">
        <v>482</v>
      </c>
      <c r="D25" t="s">
        <v>481</v>
      </c>
      <c r="E25" t="s">
        <v>483</v>
      </c>
      <c r="F25" t="s">
        <v>484</v>
      </c>
      <c r="G25" t="s">
        <v>116</v>
      </c>
      <c r="H25" t="s">
        <v>16</v>
      </c>
      <c r="I25" s="5">
        <v>468353.19</v>
      </c>
      <c r="J25" s="5">
        <v>468353.19</v>
      </c>
      <c r="K25" s="5">
        <v>468353.19</v>
      </c>
    </row>
    <row r="26" spans="1:11" x14ac:dyDescent="0.25">
      <c r="A26">
        <v>2022</v>
      </c>
      <c r="B26">
        <v>7</v>
      </c>
      <c r="C26" t="s">
        <v>489</v>
      </c>
      <c r="D26" t="s">
        <v>481</v>
      </c>
      <c r="E26" t="s">
        <v>483</v>
      </c>
      <c r="F26" t="s">
        <v>484</v>
      </c>
      <c r="G26" t="s">
        <v>116</v>
      </c>
      <c r="H26" t="s">
        <v>16</v>
      </c>
      <c r="I26" s="5">
        <v>-3505.84</v>
      </c>
      <c r="J26" s="5">
        <v>-3505.84</v>
      </c>
      <c r="K26" s="5">
        <v>2021885.04</v>
      </c>
    </row>
    <row r="27" spans="1:11" x14ac:dyDescent="0.25">
      <c r="A27">
        <v>2022</v>
      </c>
      <c r="B27">
        <v>7</v>
      </c>
      <c r="C27" t="s">
        <v>490</v>
      </c>
      <c r="D27" t="s">
        <v>481</v>
      </c>
      <c r="E27" t="s">
        <v>483</v>
      </c>
      <c r="F27" t="s">
        <v>484</v>
      </c>
      <c r="G27" t="s">
        <v>116</v>
      </c>
      <c r="H27" t="s">
        <v>81</v>
      </c>
      <c r="I27" s="5">
        <v>2020743.69</v>
      </c>
      <c r="J27" s="5">
        <v>2020743.69</v>
      </c>
      <c r="K27" s="5">
        <v>0</v>
      </c>
    </row>
    <row r="28" spans="1:11" x14ac:dyDescent="0.25">
      <c r="A28">
        <v>2022</v>
      </c>
      <c r="B28">
        <v>7</v>
      </c>
      <c r="C28" t="s">
        <v>11</v>
      </c>
      <c r="D28" t="s">
        <v>12</v>
      </c>
      <c r="E28" t="s">
        <v>13</v>
      </c>
      <c r="F28" t="s">
        <v>14</v>
      </c>
      <c r="G28" t="s">
        <v>15</v>
      </c>
      <c r="H28" t="s">
        <v>16</v>
      </c>
      <c r="I28" s="5">
        <v>57822.52</v>
      </c>
      <c r="J28" s="5">
        <v>57822.52</v>
      </c>
      <c r="K28" s="5">
        <v>57822.52</v>
      </c>
    </row>
    <row r="29" spans="1:11" x14ac:dyDescent="0.25">
      <c r="A29">
        <v>2022</v>
      </c>
      <c r="B29">
        <v>7</v>
      </c>
      <c r="C29" t="s">
        <v>36</v>
      </c>
      <c r="D29" t="s">
        <v>37</v>
      </c>
      <c r="E29" t="s">
        <v>13</v>
      </c>
      <c r="F29" t="s">
        <v>14</v>
      </c>
      <c r="G29" t="s">
        <v>15</v>
      </c>
      <c r="H29" t="s">
        <v>16</v>
      </c>
      <c r="I29" s="5">
        <v>813440.35</v>
      </c>
      <c r="J29" s="5">
        <v>813440.35</v>
      </c>
      <c r="K29" s="5">
        <v>813440.35</v>
      </c>
    </row>
    <row r="30" spans="1:11" x14ac:dyDescent="0.25">
      <c r="A30">
        <v>2022</v>
      </c>
      <c r="B30">
        <v>7</v>
      </c>
      <c r="C30" t="s">
        <v>38</v>
      </c>
      <c r="D30" t="s">
        <v>37</v>
      </c>
      <c r="E30" t="s">
        <v>13</v>
      </c>
      <c r="F30" t="s">
        <v>14</v>
      </c>
      <c r="G30" t="s">
        <v>22</v>
      </c>
      <c r="H30" t="s">
        <v>16</v>
      </c>
      <c r="I30" s="5">
        <v>0</v>
      </c>
      <c r="J30" s="5">
        <v>832.6</v>
      </c>
      <c r="K30" s="5">
        <v>2290.75</v>
      </c>
    </row>
    <row r="31" spans="1:11" x14ac:dyDescent="0.25">
      <c r="A31">
        <v>2022</v>
      </c>
      <c r="B31">
        <v>7</v>
      </c>
      <c r="C31" t="s">
        <v>43</v>
      </c>
      <c r="D31" t="s">
        <v>37</v>
      </c>
      <c r="E31" t="s">
        <v>13</v>
      </c>
      <c r="F31" t="s">
        <v>14</v>
      </c>
      <c r="G31" t="s">
        <v>24</v>
      </c>
      <c r="H31" t="s">
        <v>16</v>
      </c>
      <c r="I31" s="5">
        <v>75744.02</v>
      </c>
      <c r="J31" s="5">
        <v>126994.58</v>
      </c>
      <c r="K31" s="5">
        <v>126994.58</v>
      </c>
    </row>
    <row r="32" spans="1:11" x14ac:dyDescent="0.25">
      <c r="A32">
        <v>2022</v>
      </c>
      <c r="B32">
        <v>7</v>
      </c>
      <c r="C32" t="s">
        <v>46</v>
      </c>
      <c r="D32" t="s">
        <v>37</v>
      </c>
      <c r="E32" t="s">
        <v>13</v>
      </c>
      <c r="F32" t="s">
        <v>14</v>
      </c>
      <c r="G32" t="s">
        <v>26</v>
      </c>
      <c r="H32" t="s">
        <v>16</v>
      </c>
      <c r="I32" s="5">
        <v>15691.87</v>
      </c>
      <c r="J32" s="5">
        <v>33927.910000000003</v>
      </c>
      <c r="K32" s="5">
        <v>31634.81</v>
      </c>
    </row>
    <row r="33" spans="1:11" x14ac:dyDescent="0.25">
      <c r="A33">
        <v>2022</v>
      </c>
      <c r="B33">
        <v>7</v>
      </c>
      <c r="C33" t="s">
        <v>51</v>
      </c>
      <c r="D33" t="s">
        <v>37</v>
      </c>
      <c r="E33" t="s">
        <v>13</v>
      </c>
      <c r="F33" t="s">
        <v>14</v>
      </c>
      <c r="G33" t="s">
        <v>52</v>
      </c>
      <c r="H33" t="s">
        <v>16</v>
      </c>
      <c r="I33" s="5">
        <v>261.81</v>
      </c>
      <c r="J33" s="5">
        <v>261.81</v>
      </c>
      <c r="K33" s="5">
        <v>261.81</v>
      </c>
    </row>
    <row r="34" spans="1:11" x14ac:dyDescent="0.25">
      <c r="A34">
        <v>2022</v>
      </c>
      <c r="B34">
        <v>7</v>
      </c>
      <c r="C34" t="s">
        <v>39</v>
      </c>
      <c r="D34" t="s">
        <v>37</v>
      </c>
      <c r="E34" t="s">
        <v>40</v>
      </c>
      <c r="F34" t="s">
        <v>41</v>
      </c>
      <c r="G34" t="s">
        <v>22</v>
      </c>
      <c r="H34" t="s">
        <v>42</v>
      </c>
      <c r="I34" s="5">
        <v>0</v>
      </c>
      <c r="J34" s="5">
        <v>0</v>
      </c>
      <c r="K34" s="5">
        <v>49350.6</v>
      </c>
    </row>
    <row r="35" spans="1:11" x14ac:dyDescent="0.25">
      <c r="A35">
        <v>2022</v>
      </c>
      <c r="B35">
        <v>7</v>
      </c>
      <c r="C35" t="s">
        <v>44</v>
      </c>
      <c r="D35" t="s">
        <v>37</v>
      </c>
      <c r="E35" t="s">
        <v>40</v>
      </c>
      <c r="F35" t="s">
        <v>41</v>
      </c>
      <c r="G35" t="s">
        <v>24</v>
      </c>
      <c r="H35" t="s">
        <v>45</v>
      </c>
      <c r="I35" s="5">
        <v>0</v>
      </c>
      <c r="J35" s="5">
        <v>4636.71</v>
      </c>
      <c r="K35" s="5">
        <v>4636.71</v>
      </c>
    </row>
    <row r="36" spans="1:11" x14ac:dyDescent="0.25">
      <c r="A36">
        <v>2022</v>
      </c>
      <c r="B36">
        <v>7</v>
      </c>
      <c r="C36" t="s">
        <v>47</v>
      </c>
      <c r="D36" t="s">
        <v>37</v>
      </c>
      <c r="E36" t="s">
        <v>40</v>
      </c>
      <c r="F36" t="s">
        <v>41</v>
      </c>
      <c r="G36" t="s">
        <v>26</v>
      </c>
      <c r="H36" t="s">
        <v>45</v>
      </c>
      <c r="I36" s="5">
        <v>225</v>
      </c>
      <c r="J36" s="5">
        <v>78395.75</v>
      </c>
      <c r="K36" s="5">
        <v>12330</v>
      </c>
    </row>
    <row r="37" spans="1:11" x14ac:dyDescent="0.25">
      <c r="A37">
        <v>2022</v>
      </c>
      <c r="B37">
        <v>7</v>
      </c>
      <c r="C37" t="s">
        <v>48</v>
      </c>
      <c r="D37" t="s">
        <v>37</v>
      </c>
      <c r="E37" t="s">
        <v>40</v>
      </c>
      <c r="F37" t="s">
        <v>41</v>
      </c>
      <c r="G37" t="s">
        <v>26</v>
      </c>
      <c r="H37" t="s">
        <v>42</v>
      </c>
      <c r="I37" s="5">
        <v>447296</v>
      </c>
      <c r="J37" s="5">
        <v>0</v>
      </c>
      <c r="K37" s="5">
        <v>8883.7000000000007</v>
      </c>
    </row>
    <row r="38" spans="1:11" x14ac:dyDescent="0.25">
      <c r="A38">
        <v>2022</v>
      </c>
      <c r="B38">
        <v>7</v>
      </c>
      <c r="C38" t="s">
        <v>49</v>
      </c>
      <c r="D38" t="s">
        <v>37</v>
      </c>
      <c r="E38" t="s">
        <v>40</v>
      </c>
      <c r="F38" t="s">
        <v>41</v>
      </c>
      <c r="G38" t="s">
        <v>50</v>
      </c>
      <c r="H38" t="s">
        <v>16</v>
      </c>
      <c r="I38" s="5">
        <v>0</v>
      </c>
      <c r="J38" s="5">
        <v>51167.73</v>
      </c>
      <c r="K38" s="5">
        <v>51167.73</v>
      </c>
    </row>
    <row r="39" spans="1:11" x14ac:dyDescent="0.25">
      <c r="A39">
        <v>2022</v>
      </c>
      <c r="B39">
        <v>7</v>
      </c>
      <c r="C39" t="s">
        <v>271</v>
      </c>
      <c r="D39" t="s">
        <v>272</v>
      </c>
      <c r="E39" t="s">
        <v>273</v>
      </c>
      <c r="F39" t="s">
        <v>274</v>
      </c>
      <c r="G39" t="s">
        <v>15</v>
      </c>
      <c r="H39" t="s">
        <v>16</v>
      </c>
      <c r="I39" s="5">
        <v>860521.73</v>
      </c>
      <c r="J39" s="5">
        <v>860521.73</v>
      </c>
      <c r="K39" s="5">
        <v>860521.73</v>
      </c>
    </row>
    <row r="40" spans="1:11" x14ac:dyDescent="0.25">
      <c r="A40">
        <v>2022</v>
      </c>
      <c r="B40">
        <v>7</v>
      </c>
      <c r="C40" t="s">
        <v>275</v>
      </c>
      <c r="D40" t="s">
        <v>272</v>
      </c>
      <c r="E40" t="s">
        <v>273</v>
      </c>
      <c r="F40" t="s">
        <v>274</v>
      </c>
      <c r="G40" t="s">
        <v>69</v>
      </c>
      <c r="H40" t="s">
        <v>16</v>
      </c>
      <c r="I40" s="5">
        <v>1891104.9</v>
      </c>
      <c r="J40" s="5">
        <v>35000</v>
      </c>
      <c r="K40" s="5">
        <v>35000</v>
      </c>
    </row>
    <row r="41" spans="1:11" x14ac:dyDescent="0.25">
      <c r="A41">
        <v>2022</v>
      </c>
      <c r="B41">
        <v>7</v>
      </c>
      <c r="C41" t="s">
        <v>276</v>
      </c>
      <c r="D41" t="s">
        <v>272</v>
      </c>
      <c r="E41" t="s">
        <v>273</v>
      </c>
      <c r="F41" t="s">
        <v>274</v>
      </c>
      <c r="G41" t="s">
        <v>134</v>
      </c>
      <c r="H41" t="s">
        <v>16</v>
      </c>
      <c r="I41" s="5">
        <v>1331759.43</v>
      </c>
      <c r="J41" s="5">
        <v>4414467.68</v>
      </c>
      <c r="K41" s="5">
        <v>4660806.84</v>
      </c>
    </row>
    <row r="42" spans="1:11" x14ac:dyDescent="0.25">
      <c r="A42">
        <v>2022</v>
      </c>
      <c r="B42">
        <v>7</v>
      </c>
      <c r="C42" t="s">
        <v>277</v>
      </c>
      <c r="D42" t="s">
        <v>272</v>
      </c>
      <c r="E42" t="s">
        <v>273</v>
      </c>
      <c r="F42" t="s">
        <v>274</v>
      </c>
      <c r="G42" t="s">
        <v>134</v>
      </c>
      <c r="H42" t="s">
        <v>163</v>
      </c>
      <c r="I42" s="5">
        <v>0</v>
      </c>
      <c r="J42" s="5">
        <v>91820</v>
      </c>
      <c r="K42" s="5">
        <v>59520</v>
      </c>
    </row>
    <row r="43" spans="1:11" x14ac:dyDescent="0.25">
      <c r="A43">
        <v>2022</v>
      </c>
      <c r="B43">
        <v>7</v>
      </c>
      <c r="C43" t="s">
        <v>278</v>
      </c>
      <c r="D43" t="s">
        <v>272</v>
      </c>
      <c r="E43" t="s">
        <v>273</v>
      </c>
      <c r="F43" t="s">
        <v>274</v>
      </c>
      <c r="G43" t="s">
        <v>134</v>
      </c>
      <c r="H43" t="s">
        <v>45</v>
      </c>
      <c r="I43" s="5">
        <v>70234.759999999995</v>
      </c>
      <c r="J43" s="5">
        <v>0</v>
      </c>
      <c r="K43" s="5">
        <v>0</v>
      </c>
    </row>
    <row r="44" spans="1:11" x14ac:dyDescent="0.25">
      <c r="A44">
        <v>2022</v>
      </c>
      <c r="B44">
        <v>7</v>
      </c>
      <c r="C44" t="s">
        <v>279</v>
      </c>
      <c r="D44" t="s">
        <v>272</v>
      </c>
      <c r="E44" t="s">
        <v>273</v>
      </c>
      <c r="F44" t="s">
        <v>274</v>
      </c>
      <c r="G44" t="s">
        <v>134</v>
      </c>
      <c r="H44" t="s">
        <v>81</v>
      </c>
      <c r="I44" s="5">
        <v>0</v>
      </c>
      <c r="J44" s="5">
        <v>334782.83</v>
      </c>
      <c r="K44" s="5">
        <v>434782.83</v>
      </c>
    </row>
    <row r="45" spans="1:11" x14ac:dyDescent="0.25">
      <c r="A45">
        <v>2022</v>
      </c>
      <c r="B45">
        <v>7</v>
      </c>
      <c r="C45" t="s">
        <v>280</v>
      </c>
      <c r="D45" t="s">
        <v>272</v>
      </c>
      <c r="E45" t="s">
        <v>273</v>
      </c>
      <c r="F45" t="s">
        <v>274</v>
      </c>
      <c r="G45" t="s">
        <v>143</v>
      </c>
      <c r="H45" t="s">
        <v>16</v>
      </c>
      <c r="I45" s="5">
        <v>-2.5</v>
      </c>
      <c r="J45" s="5">
        <v>-2.5</v>
      </c>
      <c r="K45" s="5">
        <v>297.5</v>
      </c>
    </row>
    <row r="46" spans="1:11" x14ac:dyDescent="0.25">
      <c r="A46">
        <v>2022</v>
      </c>
      <c r="B46">
        <v>7</v>
      </c>
      <c r="C46" t="s">
        <v>281</v>
      </c>
      <c r="D46" t="s">
        <v>272</v>
      </c>
      <c r="E46" t="s">
        <v>273</v>
      </c>
      <c r="F46" t="s">
        <v>274</v>
      </c>
      <c r="G46" t="s">
        <v>22</v>
      </c>
      <c r="H46" t="s">
        <v>16</v>
      </c>
      <c r="I46" s="5">
        <v>33048.589999999997</v>
      </c>
      <c r="J46" s="5">
        <v>27389.9</v>
      </c>
      <c r="K46" s="5">
        <v>57218</v>
      </c>
    </row>
    <row r="47" spans="1:11" x14ac:dyDescent="0.25">
      <c r="A47">
        <v>2022</v>
      </c>
      <c r="B47">
        <v>7</v>
      </c>
      <c r="C47" t="s">
        <v>282</v>
      </c>
      <c r="D47" t="s">
        <v>272</v>
      </c>
      <c r="E47" t="s">
        <v>273</v>
      </c>
      <c r="F47" t="s">
        <v>274</v>
      </c>
      <c r="G47" t="s">
        <v>22</v>
      </c>
      <c r="H47" t="s">
        <v>81</v>
      </c>
      <c r="I47" s="5">
        <v>4525</v>
      </c>
      <c r="J47" s="5">
        <v>850.7</v>
      </c>
      <c r="K47" s="5">
        <v>1511.35</v>
      </c>
    </row>
    <row r="48" spans="1:11" x14ac:dyDescent="0.25">
      <c r="A48">
        <v>2022</v>
      </c>
      <c r="B48">
        <v>7</v>
      </c>
      <c r="C48" t="s">
        <v>283</v>
      </c>
      <c r="D48" t="s">
        <v>272</v>
      </c>
      <c r="E48" t="s">
        <v>273</v>
      </c>
      <c r="F48" t="s">
        <v>274</v>
      </c>
      <c r="G48" t="s">
        <v>284</v>
      </c>
      <c r="H48" t="s">
        <v>16</v>
      </c>
      <c r="I48" s="5">
        <v>52964.160000000003</v>
      </c>
      <c r="J48" s="5">
        <v>53441.64</v>
      </c>
      <c r="K48" s="5">
        <v>60964.160000000003</v>
      </c>
    </row>
    <row r="49" spans="1:11" x14ac:dyDescent="0.25">
      <c r="A49">
        <v>2022</v>
      </c>
      <c r="B49">
        <v>7</v>
      </c>
      <c r="C49" t="s">
        <v>285</v>
      </c>
      <c r="D49" t="s">
        <v>272</v>
      </c>
      <c r="E49" t="s">
        <v>273</v>
      </c>
      <c r="F49" t="s">
        <v>274</v>
      </c>
      <c r="G49" t="s">
        <v>24</v>
      </c>
      <c r="H49" t="s">
        <v>16</v>
      </c>
      <c r="I49" s="5">
        <v>0</v>
      </c>
      <c r="J49" s="5">
        <v>11187.49</v>
      </c>
      <c r="K49" s="5">
        <v>11187.49</v>
      </c>
    </row>
    <row r="50" spans="1:11" x14ac:dyDescent="0.25">
      <c r="A50">
        <v>2022</v>
      </c>
      <c r="B50">
        <v>7</v>
      </c>
      <c r="C50" t="s">
        <v>286</v>
      </c>
      <c r="D50" t="s">
        <v>272</v>
      </c>
      <c r="E50" t="s">
        <v>273</v>
      </c>
      <c r="F50" t="s">
        <v>274</v>
      </c>
      <c r="G50" t="s">
        <v>24</v>
      </c>
      <c r="H50" t="s">
        <v>16</v>
      </c>
      <c r="I50" s="5">
        <v>112418.38</v>
      </c>
      <c r="J50" s="5">
        <v>121858.38</v>
      </c>
      <c r="K50" s="5">
        <v>128608.07</v>
      </c>
    </row>
    <row r="51" spans="1:11" x14ac:dyDescent="0.25">
      <c r="A51">
        <v>2022</v>
      </c>
      <c r="B51">
        <v>7</v>
      </c>
      <c r="C51" t="s">
        <v>287</v>
      </c>
      <c r="D51" t="s">
        <v>272</v>
      </c>
      <c r="E51" t="s">
        <v>273</v>
      </c>
      <c r="F51" t="s">
        <v>274</v>
      </c>
      <c r="G51" t="s">
        <v>24</v>
      </c>
      <c r="H51" t="s">
        <v>163</v>
      </c>
      <c r="I51" s="5">
        <v>0</v>
      </c>
      <c r="J51" s="5">
        <v>4204.95</v>
      </c>
      <c r="K51" s="5">
        <v>4204.95</v>
      </c>
    </row>
    <row r="52" spans="1:11" x14ac:dyDescent="0.25">
      <c r="A52">
        <v>2022</v>
      </c>
      <c r="B52">
        <v>7</v>
      </c>
      <c r="C52" t="s">
        <v>288</v>
      </c>
      <c r="D52" t="s">
        <v>272</v>
      </c>
      <c r="E52" t="s">
        <v>273</v>
      </c>
      <c r="F52" t="s">
        <v>274</v>
      </c>
      <c r="G52" t="s">
        <v>24</v>
      </c>
      <c r="H52" t="s">
        <v>81</v>
      </c>
      <c r="I52" s="5">
        <v>0</v>
      </c>
      <c r="J52" s="5">
        <v>40774.81</v>
      </c>
      <c r="K52" s="5">
        <v>37274.81</v>
      </c>
    </row>
    <row r="53" spans="1:11" x14ac:dyDescent="0.25">
      <c r="A53">
        <v>2022</v>
      </c>
      <c r="B53">
        <v>7</v>
      </c>
      <c r="C53" t="s">
        <v>289</v>
      </c>
      <c r="D53" t="s">
        <v>272</v>
      </c>
      <c r="E53" t="s">
        <v>273</v>
      </c>
      <c r="F53" t="s">
        <v>274</v>
      </c>
      <c r="G53" t="s">
        <v>26</v>
      </c>
      <c r="H53" t="s">
        <v>16</v>
      </c>
      <c r="I53" s="5">
        <v>61197.86</v>
      </c>
      <c r="J53" s="5">
        <v>368407.19</v>
      </c>
      <c r="K53" s="5">
        <v>362087.76</v>
      </c>
    </row>
    <row r="54" spans="1:11" x14ac:dyDescent="0.25">
      <c r="A54">
        <v>2022</v>
      </c>
      <c r="B54">
        <v>7</v>
      </c>
      <c r="C54" t="s">
        <v>290</v>
      </c>
      <c r="D54" t="s">
        <v>272</v>
      </c>
      <c r="E54" t="s">
        <v>273</v>
      </c>
      <c r="F54" t="s">
        <v>274</v>
      </c>
      <c r="G54" t="s">
        <v>26</v>
      </c>
      <c r="H54" t="s">
        <v>16</v>
      </c>
      <c r="I54" s="5">
        <v>0</v>
      </c>
      <c r="J54" s="5">
        <v>288.88</v>
      </c>
      <c r="K54" s="5">
        <v>0</v>
      </c>
    </row>
    <row r="55" spans="1:11" x14ac:dyDescent="0.25">
      <c r="A55">
        <v>2022</v>
      </c>
      <c r="B55">
        <v>7</v>
      </c>
      <c r="C55" t="s">
        <v>291</v>
      </c>
      <c r="D55" t="s">
        <v>272</v>
      </c>
      <c r="E55" t="s">
        <v>273</v>
      </c>
      <c r="F55" t="s">
        <v>274</v>
      </c>
      <c r="G55" t="s">
        <v>26</v>
      </c>
      <c r="H55" t="s">
        <v>16</v>
      </c>
      <c r="I55" s="5">
        <v>1900</v>
      </c>
      <c r="J55" s="5">
        <v>180</v>
      </c>
      <c r="K55" s="5">
        <v>180</v>
      </c>
    </row>
    <row r="56" spans="1:11" x14ac:dyDescent="0.25">
      <c r="A56">
        <v>2022</v>
      </c>
      <c r="B56">
        <v>7</v>
      </c>
      <c r="C56" t="s">
        <v>292</v>
      </c>
      <c r="D56" t="s">
        <v>272</v>
      </c>
      <c r="E56" t="s">
        <v>273</v>
      </c>
      <c r="F56" t="s">
        <v>274</v>
      </c>
      <c r="G56" t="s">
        <v>26</v>
      </c>
      <c r="H56" t="s">
        <v>163</v>
      </c>
      <c r="I56" s="5">
        <v>0</v>
      </c>
      <c r="J56" s="5">
        <v>112781.38</v>
      </c>
      <c r="K56" s="5">
        <v>199180.03</v>
      </c>
    </row>
    <row r="57" spans="1:11" x14ac:dyDescent="0.25">
      <c r="A57">
        <v>2022</v>
      </c>
      <c r="B57">
        <v>7</v>
      </c>
      <c r="C57" t="s">
        <v>293</v>
      </c>
      <c r="D57" t="s">
        <v>272</v>
      </c>
      <c r="E57" t="s">
        <v>273</v>
      </c>
      <c r="F57" t="s">
        <v>274</v>
      </c>
      <c r="G57" t="s">
        <v>26</v>
      </c>
      <c r="H57" t="s">
        <v>81</v>
      </c>
      <c r="I57" s="5">
        <v>32000</v>
      </c>
      <c r="J57" s="5">
        <v>30338.66</v>
      </c>
      <c r="K57" s="5">
        <v>50390.6</v>
      </c>
    </row>
    <row r="58" spans="1:11" x14ac:dyDescent="0.25">
      <c r="A58">
        <v>2022</v>
      </c>
      <c r="B58">
        <v>7</v>
      </c>
      <c r="C58" t="s">
        <v>294</v>
      </c>
      <c r="D58" t="s">
        <v>272</v>
      </c>
      <c r="E58" t="s">
        <v>273</v>
      </c>
      <c r="F58" t="s">
        <v>274</v>
      </c>
      <c r="G58" t="s">
        <v>26</v>
      </c>
      <c r="H58" t="s">
        <v>42</v>
      </c>
      <c r="I58" s="5">
        <v>0</v>
      </c>
      <c r="J58" s="5">
        <v>37189.120000000003</v>
      </c>
      <c r="K58" s="5">
        <v>37189.120000000003</v>
      </c>
    </row>
    <row r="59" spans="1:11" x14ac:dyDescent="0.25">
      <c r="A59">
        <v>2022</v>
      </c>
      <c r="B59">
        <v>7</v>
      </c>
      <c r="C59" t="s">
        <v>295</v>
      </c>
      <c r="D59" t="s">
        <v>272</v>
      </c>
      <c r="E59" t="s">
        <v>273</v>
      </c>
      <c r="F59" t="s">
        <v>274</v>
      </c>
      <c r="G59" t="s">
        <v>26</v>
      </c>
      <c r="H59" t="s">
        <v>70</v>
      </c>
      <c r="I59" s="5">
        <v>11883</v>
      </c>
      <c r="J59" s="5">
        <v>3675</v>
      </c>
      <c r="K59" s="5">
        <v>0</v>
      </c>
    </row>
    <row r="60" spans="1:11" x14ac:dyDescent="0.25">
      <c r="A60">
        <v>2022</v>
      </c>
      <c r="B60">
        <v>7</v>
      </c>
      <c r="C60" t="s">
        <v>296</v>
      </c>
      <c r="D60" t="s">
        <v>272</v>
      </c>
      <c r="E60" t="s">
        <v>273</v>
      </c>
      <c r="F60" t="s">
        <v>274</v>
      </c>
      <c r="G60" t="s">
        <v>33</v>
      </c>
      <c r="H60" t="s">
        <v>16</v>
      </c>
      <c r="I60" s="5">
        <v>247048.2</v>
      </c>
      <c r="J60" s="5">
        <v>247048.2</v>
      </c>
      <c r="K60" s="5">
        <v>247048.2</v>
      </c>
    </row>
    <row r="61" spans="1:11" x14ac:dyDescent="0.25">
      <c r="A61">
        <v>2022</v>
      </c>
      <c r="B61">
        <v>7</v>
      </c>
      <c r="C61" t="s">
        <v>297</v>
      </c>
      <c r="D61" t="s">
        <v>272</v>
      </c>
      <c r="E61" t="s">
        <v>273</v>
      </c>
      <c r="F61" t="s">
        <v>274</v>
      </c>
      <c r="G61" t="s">
        <v>33</v>
      </c>
      <c r="H61" t="s">
        <v>16</v>
      </c>
      <c r="I61" s="5">
        <v>9200</v>
      </c>
      <c r="J61" s="5">
        <v>9200</v>
      </c>
      <c r="K61" s="5">
        <v>9200</v>
      </c>
    </row>
    <row r="62" spans="1:11" x14ac:dyDescent="0.25">
      <c r="A62">
        <v>2022</v>
      </c>
      <c r="B62">
        <v>7</v>
      </c>
      <c r="C62" t="s">
        <v>298</v>
      </c>
      <c r="D62" t="s">
        <v>272</v>
      </c>
      <c r="E62" t="s">
        <v>273</v>
      </c>
      <c r="F62" t="s">
        <v>274</v>
      </c>
      <c r="G62" t="s">
        <v>33</v>
      </c>
      <c r="H62" t="s">
        <v>16</v>
      </c>
      <c r="I62" s="5">
        <v>250100</v>
      </c>
      <c r="J62" s="5">
        <v>250100</v>
      </c>
      <c r="K62" s="5">
        <v>243700</v>
      </c>
    </row>
    <row r="63" spans="1:11" x14ac:dyDescent="0.25">
      <c r="A63">
        <v>2022</v>
      </c>
      <c r="B63">
        <v>7</v>
      </c>
      <c r="C63" t="s">
        <v>299</v>
      </c>
      <c r="D63" t="s">
        <v>272</v>
      </c>
      <c r="E63" t="s">
        <v>273</v>
      </c>
      <c r="F63" t="s">
        <v>274</v>
      </c>
      <c r="G63" t="s">
        <v>33</v>
      </c>
      <c r="H63" t="s">
        <v>42</v>
      </c>
      <c r="I63" s="5">
        <v>24500</v>
      </c>
      <c r="J63" s="5">
        <v>24500</v>
      </c>
      <c r="K63" s="5">
        <v>24500</v>
      </c>
    </row>
    <row r="64" spans="1:11" x14ac:dyDescent="0.25">
      <c r="A64">
        <v>2022</v>
      </c>
      <c r="B64">
        <v>7</v>
      </c>
      <c r="C64" t="s">
        <v>300</v>
      </c>
      <c r="D64" t="s">
        <v>272</v>
      </c>
      <c r="E64" t="s">
        <v>273</v>
      </c>
      <c r="F64" t="s">
        <v>274</v>
      </c>
      <c r="G64" t="s">
        <v>52</v>
      </c>
      <c r="H64" t="s">
        <v>81</v>
      </c>
      <c r="I64" s="5">
        <v>0</v>
      </c>
      <c r="J64" s="5">
        <v>0</v>
      </c>
      <c r="K64" s="5">
        <v>4325</v>
      </c>
    </row>
    <row r="65" spans="1:11" x14ac:dyDescent="0.25">
      <c r="A65">
        <v>2022</v>
      </c>
      <c r="B65">
        <v>7</v>
      </c>
      <c r="C65" t="s">
        <v>301</v>
      </c>
      <c r="D65" t="s">
        <v>272</v>
      </c>
      <c r="E65" t="s">
        <v>273</v>
      </c>
      <c r="F65" t="s">
        <v>274</v>
      </c>
      <c r="G65" t="s">
        <v>197</v>
      </c>
      <c r="H65" t="s">
        <v>16</v>
      </c>
      <c r="I65" s="5">
        <v>78724.25</v>
      </c>
      <c r="J65" s="5">
        <v>78724.25</v>
      </c>
      <c r="K65" s="5">
        <v>78724.25</v>
      </c>
    </row>
    <row r="66" spans="1:11" x14ac:dyDescent="0.25">
      <c r="A66">
        <v>2022</v>
      </c>
      <c r="B66">
        <v>7</v>
      </c>
      <c r="C66" t="s">
        <v>302</v>
      </c>
      <c r="D66" t="s">
        <v>272</v>
      </c>
      <c r="E66" t="s">
        <v>273</v>
      </c>
      <c r="F66" t="s">
        <v>274</v>
      </c>
      <c r="G66" t="s">
        <v>197</v>
      </c>
      <c r="H66" t="s">
        <v>81</v>
      </c>
      <c r="I66" s="5">
        <v>1800</v>
      </c>
      <c r="J66" s="5">
        <v>1800</v>
      </c>
      <c r="K66" s="5">
        <v>1800</v>
      </c>
    </row>
    <row r="67" spans="1:11" x14ac:dyDescent="0.25">
      <c r="A67">
        <v>2022</v>
      </c>
      <c r="B67">
        <v>7</v>
      </c>
      <c r="C67" t="s">
        <v>303</v>
      </c>
      <c r="D67" t="s">
        <v>272</v>
      </c>
      <c r="E67" t="s">
        <v>273</v>
      </c>
      <c r="F67" t="s">
        <v>274</v>
      </c>
      <c r="G67" t="s">
        <v>197</v>
      </c>
      <c r="H67" t="s">
        <v>85</v>
      </c>
      <c r="I67" s="5">
        <v>37314.800000000003</v>
      </c>
      <c r="J67" s="5">
        <v>37314.800000000003</v>
      </c>
      <c r="K67" s="5">
        <v>37314.800000000003</v>
      </c>
    </row>
    <row r="68" spans="1:11" x14ac:dyDescent="0.25">
      <c r="A68">
        <v>2022</v>
      </c>
      <c r="B68">
        <v>7</v>
      </c>
      <c r="C68" t="s">
        <v>304</v>
      </c>
      <c r="D68" t="s">
        <v>272</v>
      </c>
      <c r="E68" t="s">
        <v>273</v>
      </c>
      <c r="F68" t="s">
        <v>274</v>
      </c>
      <c r="G68" t="s">
        <v>305</v>
      </c>
      <c r="H68" t="s">
        <v>70</v>
      </c>
      <c r="I68" s="5">
        <v>925200</v>
      </c>
      <c r="J68" s="5">
        <v>0</v>
      </c>
      <c r="K68" s="5">
        <v>0</v>
      </c>
    </row>
    <row r="69" spans="1:11" x14ac:dyDescent="0.25">
      <c r="A69">
        <v>2022</v>
      </c>
      <c r="B69">
        <v>7</v>
      </c>
      <c r="C69" t="s">
        <v>306</v>
      </c>
      <c r="D69" t="s">
        <v>272</v>
      </c>
      <c r="E69" t="s">
        <v>273</v>
      </c>
      <c r="F69" t="s">
        <v>274</v>
      </c>
      <c r="G69" t="s">
        <v>35</v>
      </c>
      <c r="H69" t="s">
        <v>16</v>
      </c>
      <c r="I69" s="5">
        <v>22129.05</v>
      </c>
      <c r="J69" s="5">
        <v>3484.45</v>
      </c>
      <c r="K69" s="5">
        <v>3173.38</v>
      </c>
    </row>
    <row r="70" spans="1:11" x14ac:dyDescent="0.25">
      <c r="A70">
        <v>2022</v>
      </c>
      <c r="B70">
        <v>7</v>
      </c>
      <c r="C70" t="s">
        <v>307</v>
      </c>
      <c r="D70" t="s">
        <v>272</v>
      </c>
      <c r="E70" t="s">
        <v>273</v>
      </c>
      <c r="F70" t="s">
        <v>274</v>
      </c>
      <c r="G70" t="s">
        <v>35</v>
      </c>
      <c r="H70" t="s">
        <v>81</v>
      </c>
      <c r="I70" s="5">
        <v>5861</v>
      </c>
      <c r="J70" s="5">
        <v>28519.98</v>
      </c>
      <c r="K70" s="5">
        <v>0</v>
      </c>
    </row>
    <row r="71" spans="1:11" x14ac:dyDescent="0.25">
      <c r="A71">
        <v>2022</v>
      </c>
      <c r="B71">
        <v>7</v>
      </c>
      <c r="C71" t="s">
        <v>171</v>
      </c>
      <c r="D71" t="s">
        <v>111</v>
      </c>
      <c r="E71" t="s">
        <v>13</v>
      </c>
      <c r="F71" t="s">
        <v>14</v>
      </c>
      <c r="G71" t="s">
        <v>26</v>
      </c>
      <c r="H71" t="s">
        <v>16</v>
      </c>
      <c r="I71" s="5">
        <v>-1560</v>
      </c>
      <c r="J71" s="5">
        <v>-1560</v>
      </c>
      <c r="K71" s="5">
        <v>-1560</v>
      </c>
    </row>
    <row r="72" spans="1:11" x14ac:dyDescent="0.25">
      <c r="A72">
        <v>2022</v>
      </c>
      <c r="B72">
        <v>7</v>
      </c>
      <c r="C72" t="s">
        <v>172</v>
      </c>
      <c r="D72" t="s">
        <v>111</v>
      </c>
      <c r="E72" t="s">
        <v>13</v>
      </c>
      <c r="F72" t="s">
        <v>14</v>
      </c>
      <c r="G72" t="s">
        <v>26</v>
      </c>
      <c r="H72" t="s">
        <v>16</v>
      </c>
      <c r="I72" s="5">
        <v>-29758.5</v>
      </c>
      <c r="J72" s="5">
        <v>515678.3</v>
      </c>
      <c r="K72" s="5">
        <v>1471137.9</v>
      </c>
    </row>
    <row r="73" spans="1:11" x14ac:dyDescent="0.25">
      <c r="A73">
        <v>2022</v>
      </c>
      <c r="B73">
        <v>7</v>
      </c>
      <c r="C73" t="s">
        <v>210</v>
      </c>
      <c r="D73" t="s">
        <v>111</v>
      </c>
      <c r="E73" t="s">
        <v>211</v>
      </c>
      <c r="F73" t="s">
        <v>212</v>
      </c>
      <c r="G73" t="s">
        <v>35</v>
      </c>
      <c r="H73" t="s">
        <v>16</v>
      </c>
      <c r="I73" s="5">
        <v>4560</v>
      </c>
      <c r="J73" s="5">
        <v>0</v>
      </c>
      <c r="K73" s="5">
        <v>10489</v>
      </c>
    </row>
    <row r="74" spans="1:11" x14ac:dyDescent="0.25">
      <c r="A74">
        <v>2022</v>
      </c>
      <c r="B74">
        <v>7</v>
      </c>
      <c r="C74" t="s">
        <v>110</v>
      </c>
      <c r="D74" t="s">
        <v>111</v>
      </c>
      <c r="E74" t="s">
        <v>112</v>
      </c>
      <c r="F74" t="s">
        <v>14</v>
      </c>
      <c r="G74" t="s">
        <v>15</v>
      </c>
      <c r="H74" t="s">
        <v>16</v>
      </c>
      <c r="I74" s="5">
        <v>47915.34</v>
      </c>
      <c r="J74" s="5">
        <v>47915.34</v>
      </c>
      <c r="K74" s="5">
        <v>47915.34</v>
      </c>
    </row>
    <row r="75" spans="1:11" x14ac:dyDescent="0.25">
      <c r="A75">
        <v>2022</v>
      </c>
      <c r="B75">
        <v>7</v>
      </c>
      <c r="C75" t="s">
        <v>115</v>
      </c>
      <c r="D75" t="s">
        <v>111</v>
      </c>
      <c r="E75" t="s">
        <v>112</v>
      </c>
      <c r="F75" t="s">
        <v>14</v>
      </c>
      <c r="G75" t="s">
        <v>116</v>
      </c>
      <c r="H75" t="s">
        <v>16</v>
      </c>
      <c r="I75" s="5">
        <v>1987.92</v>
      </c>
      <c r="J75" s="5">
        <v>1987.92</v>
      </c>
      <c r="K75" s="5">
        <v>1987.92</v>
      </c>
    </row>
    <row r="76" spans="1:11" x14ac:dyDescent="0.25">
      <c r="A76">
        <v>2022</v>
      </c>
      <c r="B76">
        <v>7</v>
      </c>
      <c r="C76" t="s">
        <v>126</v>
      </c>
      <c r="D76" t="s">
        <v>111</v>
      </c>
      <c r="E76" t="s">
        <v>112</v>
      </c>
      <c r="F76" t="s">
        <v>14</v>
      </c>
      <c r="G76" t="s">
        <v>116</v>
      </c>
      <c r="H76" t="s">
        <v>16</v>
      </c>
      <c r="I76" s="5">
        <v>2149.38</v>
      </c>
      <c r="J76" s="5">
        <v>2149.38</v>
      </c>
      <c r="K76" s="5">
        <v>2149.38</v>
      </c>
    </row>
    <row r="77" spans="1:11" x14ac:dyDescent="0.25">
      <c r="A77">
        <v>2022</v>
      </c>
      <c r="B77">
        <v>7</v>
      </c>
      <c r="C77" t="s">
        <v>135</v>
      </c>
      <c r="D77" t="s">
        <v>111</v>
      </c>
      <c r="E77" t="s">
        <v>112</v>
      </c>
      <c r="F77" t="s">
        <v>14</v>
      </c>
      <c r="G77" t="s">
        <v>136</v>
      </c>
      <c r="H77" t="s">
        <v>16</v>
      </c>
      <c r="I77" s="5">
        <v>125</v>
      </c>
      <c r="J77" s="5">
        <v>125</v>
      </c>
      <c r="K77" s="5">
        <v>125</v>
      </c>
    </row>
    <row r="78" spans="1:11" x14ac:dyDescent="0.25">
      <c r="A78">
        <v>2022</v>
      </c>
      <c r="B78">
        <v>7</v>
      </c>
      <c r="C78" t="s">
        <v>173</v>
      </c>
      <c r="D78" t="s">
        <v>111</v>
      </c>
      <c r="E78" t="s">
        <v>112</v>
      </c>
      <c r="F78" t="s">
        <v>14</v>
      </c>
      <c r="G78" t="s">
        <v>26</v>
      </c>
      <c r="H78" t="s">
        <v>16</v>
      </c>
      <c r="I78" s="5">
        <v>0</v>
      </c>
      <c r="J78" s="5">
        <v>54004.25</v>
      </c>
      <c r="K78" s="5">
        <v>54004.25</v>
      </c>
    </row>
    <row r="79" spans="1:11" x14ac:dyDescent="0.25">
      <c r="A79">
        <v>2022</v>
      </c>
      <c r="B79">
        <v>7</v>
      </c>
      <c r="C79" t="s">
        <v>186</v>
      </c>
      <c r="D79" t="s">
        <v>111</v>
      </c>
      <c r="E79" t="s">
        <v>112</v>
      </c>
      <c r="F79" t="s">
        <v>14</v>
      </c>
      <c r="G79" t="s">
        <v>187</v>
      </c>
      <c r="H79" t="s">
        <v>16</v>
      </c>
      <c r="I79" s="5">
        <v>1342</v>
      </c>
      <c r="J79" s="5">
        <v>1342</v>
      </c>
      <c r="K79" s="5">
        <v>1342</v>
      </c>
    </row>
    <row r="80" spans="1:11" x14ac:dyDescent="0.25">
      <c r="A80">
        <v>2022</v>
      </c>
      <c r="B80">
        <v>7</v>
      </c>
      <c r="C80" t="s">
        <v>144</v>
      </c>
      <c r="D80" t="s">
        <v>111</v>
      </c>
      <c r="E80" t="s">
        <v>112</v>
      </c>
      <c r="F80" t="s">
        <v>145</v>
      </c>
      <c r="G80" t="s">
        <v>22</v>
      </c>
      <c r="H80" t="s">
        <v>81</v>
      </c>
      <c r="I80" s="5">
        <v>0</v>
      </c>
      <c r="J80" s="5">
        <v>80934.320000000007</v>
      </c>
      <c r="K80" s="5">
        <v>84035.46</v>
      </c>
    </row>
    <row r="81" spans="1:11" x14ac:dyDescent="0.25">
      <c r="A81">
        <v>2022</v>
      </c>
      <c r="B81">
        <v>7</v>
      </c>
      <c r="C81" t="s">
        <v>146</v>
      </c>
      <c r="D81" t="s">
        <v>111</v>
      </c>
      <c r="E81" t="s">
        <v>112</v>
      </c>
      <c r="F81" t="s">
        <v>145</v>
      </c>
      <c r="G81" t="s">
        <v>22</v>
      </c>
      <c r="H81" t="s">
        <v>81</v>
      </c>
      <c r="I81" s="5">
        <v>0</v>
      </c>
      <c r="J81" s="5">
        <v>1104962</v>
      </c>
      <c r="K81" s="5">
        <v>1240849.3400000001</v>
      </c>
    </row>
    <row r="82" spans="1:11" x14ac:dyDescent="0.25">
      <c r="A82">
        <v>2022</v>
      </c>
      <c r="B82">
        <v>7</v>
      </c>
      <c r="C82" t="s">
        <v>147</v>
      </c>
      <c r="D82" t="s">
        <v>111</v>
      </c>
      <c r="E82" t="s">
        <v>112</v>
      </c>
      <c r="F82" t="s">
        <v>145</v>
      </c>
      <c r="G82" t="s">
        <v>22</v>
      </c>
      <c r="H82" t="s">
        <v>81</v>
      </c>
      <c r="I82" s="5">
        <v>0</v>
      </c>
      <c r="J82" s="5">
        <v>1754913.18</v>
      </c>
      <c r="K82" s="5">
        <v>2080496.57</v>
      </c>
    </row>
    <row r="83" spans="1:11" x14ac:dyDescent="0.25">
      <c r="A83">
        <v>2022</v>
      </c>
      <c r="B83">
        <v>7</v>
      </c>
      <c r="C83" t="s">
        <v>148</v>
      </c>
      <c r="D83" t="s">
        <v>111</v>
      </c>
      <c r="E83" t="s">
        <v>112</v>
      </c>
      <c r="F83" t="s">
        <v>145</v>
      </c>
      <c r="G83" t="s">
        <v>22</v>
      </c>
      <c r="H83" t="s">
        <v>81</v>
      </c>
      <c r="I83" s="5">
        <v>-25790.42</v>
      </c>
      <c r="J83" s="5">
        <v>499399.51</v>
      </c>
      <c r="K83" s="5">
        <v>791040.14</v>
      </c>
    </row>
    <row r="84" spans="1:11" x14ac:dyDescent="0.25">
      <c r="A84">
        <v>2022</v>
      </c>
      <c r="B84">
        <v>7</v>
      </c>
      <c r="C84" t="s">
        <v>149</v>
      </c>
      <c r="D84" t="s">
        <v>111</v>
      </c>
      <c r="E84" t="s">
        <v>112</v>
      </c>
      <c r="F84" t="s">
        <v>145</v>
      </c>
      <c r="G84" t="s">
        <v>22</v>
      </c>
      <c r="H84" t="s">
        <v>81</v>
      </c>
      <c r="I84" s="5">
        <v>360915.6</v>
      </c>
      <c r="J84" s="5">
        <v>62840.04</v>
      </c>
      <c r="K84" s="5">
        <v>170592.8</v>
      </c>
    </row>
    <row r="85" spans="1:11" x14ac:dyDescent="0.25">
      <c r="A85">
        <v>2022</v>
      </c>
      <c r="B85">
        <v>7</v>
      </c>
      <c r="C85" t="s">
        <v>150</v>
      </c>
      <c r="D85" t="s">
        <v>111</v>
      </c>
      <c r="E85" t="s">
        <v>112</v>
      </c>
      <c r="F85" t="s">
        <v>145</v>
      </c>
      <c r="G85" t="s">
        <v>22</v>
      </c>
      <c r="H85" t="s">
        <v>85</v>
      </c>
      <c r="I85" s="5">
        <v>117031.64</v>
      </c>
      <c r="J85" s="5">
        <v>241976.62</v>
      </c>
      <c r="K85" s="5">
        <v>181737.61</v>
      </c>
    </row>
    <row r="86" spans="1:11" x14ac:dyDescent="0.25">
      <c r="A86">
        <v>2022</v>
      </c>
      <c r="B86">
        <v>7</v>
      </c>
      <c r="C86" t="s">
        <v>174</v>
      </c>
      <c r="D86" t="s">
        <v>111</v>
      </c>
      <c r="E86" t="s">
        <v>112</v>
      </c>
      <c r="F86" t="s">
        <v>145</v>
      </c>
      <c r="G86" t="s">
        <v>26</v>
      </c>
      <c r="H86" t="s">
        <v>81</v>
      </c>
      <c r="I86" s="5">
        <v>0</v>
      </c>
      <c r="J86" s="5">
        <v>84237.75</v>
      </c>
      <c r="K86" s="5">
        <v>87465.48</v>
      </c>
    </row>
    <row r="87" spans="1:11" x14ac:dyDescent="0.25">
      <c r="A87">
        <v>2022</v>
      </c>
      <c r="B87">
        <v>7</v>
      </c>
      <c r="C87" t="s">
        <v>175</v>
      </c>
      <c r="D87" t="s">
        <v>111</v>
      </c>
      <c r="E87" t="s">
        <v>112</v>
      </c>
      <c r="F87" t="s">
        <v>145</v>
      </c>
      <c r="G87" t="s">
        <v>26</v>
      </c>
      <c r="H87" t="s">
        <v>81</v>
      </c>
      <c r="I87" s="5">
        <v>0</v>
      </c>
      <c r="J87" s="5">
        <v>1150062.5</v>
      </c>
      <c r="K87" s="5">
        <v>1291496.26</v>
      </c>
    </row>
    <row r="88" spans="1:11" x14ac:dyDescent="0.25">
      <c r="A88">
        <v>2022</v>
      </c>
      <c r="B88">
        <v>7</v>
      </c>
      <c r="C88" t="s">
        <v>176</v>
      </c>
      <c r="D88" t="s">
        <v>111</v>
      </c>
      <c r="E88" t="s">
        <v>112</v>
      </c>
      <c r="F88" t="s">
        <v>145</v>
      </c>
      <c r="G88" t="s">
        <v>26</v>
      </c>
      <c r="H88" t="s">
        <v>81</v>
      </c>
      <c r="I88" s="5">
        <v>0</v>
      </c>
      <c r="J88" s="5">
        <v>1812360.69</v>
      </c>
      <c r="K88" s="5">
        <v>2151233.19</v>
      </c>
    </row>
    <row r="89" spans="1:11" x14ac:dyDescent="0.25">
      <c r="A89">
        <v>2022</v>
      </c>
      <c r="B89">
        <v>7</v>
      </c>
      <c r="C89" t="s">
        <v>205</v>
      </c>
      <c r="D89" t="s">
        <v>111</v>
      </c>
      <c r="E89" t="s">
        <v>112</v>
      </c>
      <c r="F89" t="s">
        <v>145</v>
      </c>
      <c r="G89" t="s">
        <v>35</v>
      </c>
      <c r="H89" t="s">
        <v>81</v>
      </c>
      <c r="I89" s="5">
        <v>0</v>
      </c>
      <c r="J89" s="5">
        <v>0</v>
      </c>
      <c r="K89" s="5">
        <v>3399.88</v>
      </c>
    </row>
    <row r="90" spans="1:11" x14ac:dyDescent="0.25">
      <c r="A90">
        <v>2022</v>
      </c>
      <c r="B90">
        <v>7</v>
      </c>
      <c r="C90" t="s">
        <v>206</v>
      </c>
      <c r="D90" t="s">
        <v>111</v>
      </c>
      <c r="E90" t="s">
        <v>112</v>
      </c>
      <c r="F90" t="s">
        <v>145</v>
      </c>
      <c r="G90" t="s">
        <v>35</v>
      </c>
      <c r="H90" t="s">
        <v>85</v>
      </c>
      <c r="I90" s="5">
        <v>0</v>
      </c>
      <c r="J90" s="5">
        <v>26153.32</v>
      </c>
      <c r="K90" s="5">
        <v>0</v>
      </c>
    </row>
    <row r="91" spans="1:11" x14ac:dyDescent="0.25">
      <c r="A91">
        <v>2022</v>
      </c>
      <c r="B91">
        <v>7</v>
      </c>
      <c r="C91" t="s">
        <v>131</v>
      </c>
      <c r="D91" t="s">
        <v>111</v>
      </c>
      <c r="E91" t="s">
        <v>112</v>
      </c>
      <c r="F91" t="s">
        <v>132</v>
      </c>
      <c r="G91" t="s">
        <v>69</v>
      </c>
      <c r="H91" t="s">
        <v>16</v>
      </c>
      <c r="I91" s="5">
        <v>2065423</v>
      </c>
      <c r="J91" s="5">
        <v>0</v>
      </c>
      <c r="K91" s="5">
        <v>0</v>
      </c>
    </row>
    <row r="92" spans="1:11" x14ac:dyDescent="0.25">
      <c r="A92">
        <v>2022</v>
      </c>
      <c r="B92">
        <v>7</v>
      </c>
      <c r="C92" t="s">
        <v>141</v>
      </c>
      <c r="D92" t="s">
        <v>111</v>
      </c>
      <c r="E92" t="s">
        <v>112</v>
      </c>
      <c r="F92" t="s">
        <v>132</v>
      </c>
      <c r="G92" t="s">
        <v>136</v>
      </c>
      <c r="H92" t="s">
        <v>16</v>
      </c>
      <c r="I92" s="5">
        <v>1425</v>
      </c>
      <c r="J92" s="5">
        <v>1425</v>
      </c>
      <c r="K92" s="5">
        <v>1425</v>
      </c>
    </row>
    <row r="93" spans="1:11" x14ac:dyDescent="0.25">
      <c r="A93">
        <v>2022</v>
      </c>
      <c r="B93">
        <v>7</v>
      </c>
      <c r="C93" t="s">
        <v>158</v>
      </c>
      <c r="D93" t="s">
        <v>111</v>
      </c>
      <c r="E93" t="s">
        <v>112</v>
      </c>
      <c r="F93" t="s">
        <v>132</v>
      </c>
      <c r="G93" t="s">
        <v>22</v>
      </c>
      <c r="H93" t="s">
        <v>16</v>
      </c>
      <c r="I93" s="5">
        <v>22500</v>
      </c>
      <c r="J93" s="5">
        <v>0</v>
      </c>
      <c r="K93" s="5">
        <v>0</v>
      </c>
    </row>
    <row r="94" spans="1:11" x14ac:dyDescent="0.25">
      <c r="A94">
        <v>2022</v>
      </c>
      <c r="B94">
        <v>7</v>
      </c>
      <c r="C94" t="s">
        <v>192</v>
      </c>
      <c r="D94" t="s">
        <v>111</v>
      </c>
      <c r="E94" t="s">
        <v>112</v>
      </c>
      <c r="F94" t="s">
        <v>132</v>
      </c>
      <c r="G94" t="s">
        <v>187</v>
      </c>
      <c r="H94" t="s">
        <v>16</v>
      </c>
      <c r="I94" s="5">
        <v>19580</v>
      </c>
      <c r="J94" s="5">
        <v>19580</v>
      </c>
      <c r="K94" s="5">
        <v>19580</v>
      </c>
    </row>
    <row r="95" spans="1:11" x14ac:dyDescent="0.25">
      <c r="A95">
        <v>2022</v>
      </c>
      <c r="B95">
        <v>7</v>
      </c>
      <c r="C95" t="s">
        <v>217</v>
      </c>
      <c r="D95" t="s">
        <v>111</v>
      </c>
      <c r="E95" t="s">
        <v>112</v>
      </c>
      <c r="F95" t="s">
        <v>132</v>
      </c>
      <c r="G95" t="s">
        <v>214</v>
      </c>
      <c r="H95" t="s">
        <v>163</v>
      </c>
      <c r="I95" s="5">
        <v>6532.43</v>
      </c>
      <c r="J95" s="5">
        <v>6532.43</v>
      </c>
      <c r="K95" s="5">
        <v>6532.43</v>
      </c>
    </row>
    <row r="96" spans="1:11" x14ac:dyDescent="0.25">
      <c r="A96">
        <v>2022</v>
      </c>
      <c r="B96">
        <v>7</v>
      </c>
      <c r="C96" t="s">
        <v>221</v>
      </c>
      <c r="D96" t="s">
        <v>111</v>
      </c>
      <c r="E96" t="s">
        <v>112</v>
      </c>
      <c r="F96" t="s">
        <v>132</v>
      </c>
      <c r="G96" t="s">
        <v>15</v>
      </c>
      <c r="H96" t="s">
        <v>163</v>
      </c>
      <c r="I96" s="5">
        <v>348548.51</v>
      </c>
      <c r="J96" s="5">
        <v>348548.51</v>
      </c>
      <c r="K96" s="5">
        <v>348548.51</v>
      </c>
    </row>
    <row r="97" spans="1:11" x14ac:dyDescent="0.25">
      <c r="A97">
        <v>2022</v>
      </c>
      <c r="B97">
        <v>7</v>
      </c>
      <c r="C97" t="s">
        <v>225</v>
      </c>
      <c r="D97" t="s">
        <v>111</v>
      </c>
      <c r="E97" t="s">
        <v>112</v>
      </c>
      <c r="F97" t="s">
        <v>132</v>
      </c>
      <c r="G97" t="s">
        <v>116</v>
      </c>
      <c r="H97" t="s">
        <v>163</v>
      </c>
      <c r="I97" s="5">
        <v>2243.0300000000002</v>
      </c>
      <c r="J97" s="5">
        <v>2243.0300000000002</v>
      </c>
      <c r="K97" s="5">
        <v>2243.0300000000002</v>
      </c>
    </row>
    <row r="98" spans="1:11" x14ac:dyDescent="0.25">
      <c r="A98">
        <v>2022</v>
      </c>
      <c r="B98">
        <v>7</v>
      </c>
      <c r="C98" t="s">
        <v>229</v>
      </c>
      <c r="D98" t="s">
        <v>111</v>
      </c>
      <c r="E98" t="s">
        <v>112</v>
      </c>
      <c r="F98" t="s">
        <v>132</v>
      </c>
      <c r="G98" t="s">
        <v>122</v>
      </c>
      <c r="H98" t="s">
        <v>163</v>
      </c>
      <c r="I98" s="5">
        <v>5637</v>
      </c>
      <c r="J98" s="5">
        <v>5637</v>
      </c>
      <c r="K98" s="5">
        <v>5637</v>
      </c>
    </row>
    <row r="99" spans="1:11" x14ac:dyDescent="0.25">
      <c r="A99">
        <v>2022</v>
      </c>
      <c r="B99">
        <v>7</v>
      </c>
      <c r="C99" t="s">
        <v>235</v>
      </c>
      <c r="D99" t="s">
        <v>111</v>
      </c>
      <c r="E99" t="s">
        <v>112</v>
      </c>
      <c r="F99" t="s">
        <v>132</v>
      </c>
      <c r="G99" t="s">
        <v>116</v>
      </c>
      <c r="H99" t="s">
        <v>163</v>
      </c>
      <c r="I99" s="5">
        <v>80101.5</v>
      </c>
      <c r="J99" s="5">
        <v>80101.5</v>
      </c>
      <c r="K99" s="5">
        <v>82890.080000000002</v>
      </c>
    </row>
    <row r="100" spans="1:11" x14ac:dyDescent="0.25">
      <c r="A100">
        <v>2022</v>
      </c>
      <c r="B100">
        <v>7</v>
      </c>
      <c r="C100" t="s">
        <v>236</v>
      </c>
      <c r="D100" t="s">
        <v>111</v>
      </c>
      <c r="E100" t="s">
        <v>112</v>
      </c>
      <c r="F100" t="s">
        <v>132</v>
      </c>
      <c r="G100" t="s">
        <v>69</v>
      </c>
      <c r="H100" t="s">
        <v>163</v>
      </c>
      <c r="I100" s="5">
        <v>2638000.85</v>
      </c>
      <c r="J100" s="5">
        <v>0</v>
      </c>
      <c r="K100" s="5">
        <v>0</v>
      </c>
    </row>
    <row r="101" spans="1:11" x14ac:dyDescent="0.25">
      <c r="A101">
        <v>2022</v>
      </c>
      <c r="B101">
        <v>7</v>
      </c>
      <c r="C101" t="s">
        <v>119</v>
      </c>
      <c r="D101" t="s">
        <v>111</v>
      </c>
      <c r="E101" t="s">
        <v>112</v>
      </c>
      <c r="F101" t="s">
        <v>120</v>
      </c>
      <c r="G101" t="s">
        <v>116</v>
      </c>
      <c r="H101" t="s">
        <v>16</v>
      </c>
      <c r="I101" s="5">
        <v>2559.48</v>
      </c>
      <c r="J101" s="5">
        <v>2559.48</v>
      </c>
      <c r="K101" s="5">
        <v>2559.48</v>
      </c>
    </row>
    <row r="102" spans="1:11" x14ac:dyDescent="0.25">
      <c r="A102">
        <v>2022</v>
      </c>
      <c r="B102">
        <v>7</v>
      </c>
      <c r="C102" t="s">
        <v>125</v>
      </c>
      <c r="D102" t="s">
        <v>111</v>
      </c>
      <c r="E102" t="s">
        <v>112</v>
      </c>
      <c r="F102" t="s">
        <v>120</v>
      </c>
      <c r="G102" t="s">
        <v>124</v>
      </c>
      <c r="H102" t="s">
        <v>16</v>
      </c>
      <c r="I102" s="5">
        <v>429.29</v>
      </c>
      <c r="J102" s="5">
        <v>429.29</v>
      </c>
      <c r="K102" s="5">
        <v>429.29</v>
      </c>
    </row>
    <row r="103" spans="1:11" x14ac:dyDescent="0.25">
      <c r="A103">
        <v>2022</v>
      </c>
      <c r="B103">
        <v>7</v>
      </c>
      <c r="C103" t="s">
        <v>128</v>
      </c>
      <c r="D103" t="s">
        <v>111</v>
      </c>
      <c r="E103" t="s">
        <v>112</v>
      </c>
      <c r="F103" t="s">
        <v>120</v>
      </c>
      <c r="G103" t="s">
        <v>116</v>
      </c>
      <c r="H103" t="s">
        <v>16</v>
      </c>
      <c r="I103" s="5">
        <v>42.55</v>
      </c>
      <c r="J103" s="5">
        <v>42.55</v>
      </c>
      <c r="K103" s="5">
        <v>42.55</v>
      </c>
    </row>
    <row r="104" spans="1:11" x14ac:dyDescent="0.25">
      <c r="A104">
        <v>2022</v>
      </c>
      <c r="B104">
        <v>7</v>
      </c>
      <c r="C104" t="s">
        <v>129</v>
      </c>
      <c r="D104" t="s">
        <v>111</v>
      </c>
      <c r="E104" t="s">
        <v>112</v>
      </c>
      <c r="F104" t="s">
        <v>120</v>
      </c>
      <c r="G104" t="s">
        <v>116</v>
      </c>
      <c r="H104" t="s">
        <v>16</v>
      </c>
      <c r="I104" s="5">
        <v>1941.35</v>
      </c>
      <c r="J104" s="5">
        <v>1941.35</v>
      </c>
      <c r="K104" s="5">
        <v>1941.35</v>
      </c>
    </row>
    <row r="105" spans="1:11" x14ac:dyDescent="0.25">
      <c r="A105">
        <v>2022</v>
      </c>
      <c r="B105">
        <v>7</v>
      </c>
      <c r="C105" t="s">
        <v>133</v>
      </c>
      <c r="D105" t="s">
        <v>111</v>
      </c>
      <c r="E105" t="s">
        <v>112</v>
      </c>
      <c r="F105" t="s">
        <v>120</v>
      </c>
      <c r="G105" t="s">
        <v>134</v>
      </c>
      <c r="H105" t="s">
        <v>16</v>
      </c>
      <c r="I105" s="5">
        <v>4061134.01</v>
      </c>
      <c r="J105" s="5">
        <v>5448298.7800000003</v>
      </c>
      <c r="K105" s="5">
        <v>5601466.8099999996</v>
      </c>
    </row>
    <row r="106" spans="1:11" x14ac:dyDescent="0.25">
      <c r="A106">
        <v>2022</v>
      </c>
      <c r="B106">
        <v>7</v>
      </c>
      <c r="C106" t="s">
        <v>139</v>
      </c>
      <c r="D106" t="s">
        <v>111</v>
      </c>
      <c r="E106" t="s">
        <v>112</v>
      </c>
      <c r="F106" t="s">
        <v>120</v>
      </c>
      <c r="G106" t="s">
        <v>136</v>
      </c>
      <c r="H106" t="s">
        <v>16</v>
      </c>
      <c r="I106" s="5">
        <v>9693.59</v>
      </c>
      <c r="J106" s="5">
        <v>9693.59</v>
      </c>
      <c r="K106" s="5">
        <v>9693.59</v>
      </c>
    </row>
    <row r="107" spans="1:11" x14ac:dyDescent="0.25">
      <c r="A107">
        <v>2022</v>
      </c>
      <c r="B107">
        <v>7</v>
      </c>
      <c r="C107" t="s">
        <v>140</v>
      </c>
      <c r="D107" t="s">
        <v>111</v>
      </c>
      <c r="E107" t="s">
        <v>112</v>
      </c>
      <c r="F107" t="s">
        <v>120</v>
      </c>
      <c r="G107" t="s">
        <v>136</v>
      </c>
      <c r="H107" t="s">
        <v>16</v>
      </c>
      <c r="I107" s="5">
        <v>70551.87</v>
      </c>
      <c r="J107" s="5">
        <v>70551.87</v>
      </c>
      <c r="K107" s="5">
        <v>70551.87</v>
      </c>
    </row>
    <row r="108" spans="1:11" x14ac:dyDescent="0.25">
      <c r="A108">
        <v>2022</v>
      </c>
      <c r="B108">
        <v>7</v>
      </c>
      <c r="C108" t="s">
        <v>154</v>
      </c>
      <c r="D108" t="s">
        <v>111</v>
      </c>
      <c r="E108" t="s">
        <v>112</v>
      </c>
      <c r="F108" t="s">
        <v>120</v>
      </c>
      <c r="G108" t="s">
        <v>22</v>
      </c>
      <c r="H108" t="s">
        <v>16</v>
      </c>
      <c r="I108" s="5">
        <v>97847.76</v>
      </c>
      <c r="J108" s="5">
        <v>32895</v>
      </c>
      <c r="K108" s="5">
        <v>123353.60000000001</v>
      </c>
    </row>
    <row r="109" spans="1:11" x14ac:dyDescent="0.25">
      <c r="A109">
        <v>2022</v>
      </c>
      <c r="B109">
        <v>7</v>
      </c>
      <c r="C109" t="s">
        <v>155</v>
      </c>
      <c r="D109" t="s">
        <v>111</v>
      </c>
      <c r="E109" t="s">
        <v>112</v>
      </c>
      <c r="F109" t="s">
        <v>120</v>
      </c>
      <c r="G109" t="s">
        <v>22</v>
      </c>
      <c r="H109" t="s">
        <v>16</v>
      </c>
      <c r="I109" s="5">
        <v>127584.81</v>
      </c>
      <c r="J109" s="5">
        <v>71042.94</v>
      </c>
      <c r="K109" s="5">
        <v>109750.09</v>
      </c>
    </row>
    <row r="110" spans="1:11" x14ac:dyDescent="0.25">
      <c r="A110">
        <v>2022</v>
      </c>
      <c r="B110">
        <v>7</v>
      </c>
      <c r="C110" t="s">
        <v>156</v>
      </c>
      <c r="D110" t="s">
        <v>111</v>
      </c>
      <c r="E110" t="s">
        <v>112</v>
      </c>
      <c r="F110" t="s">
        <v>120</v>
      </c>
      <c r="G110" t="s">
        <v>22</v>
      </c>
      <c r="H110" t="s">
        <v>81</v>
      </c>
      <c r="I110" s="5">
        <v>156955.5</v>
      </c>
      <c r="J110" s="5">
        <v>88722.67</v>
      </c>
      <c r="K110" s="5">
        <v>95257.51</v>
      </c>
    </row>
    <row r="111" spans="1:11" x14ac:dyDescent="0.25">
      <c r="A111">
        <v>2022</v>
      </c>
      <c r="B111">
        <v>7</v>
      </c>
      <c r="C111" t="s">
        <v>157</v>
      </c>
      <c r="D111" t="s">
        <v>111</v>
      </c>
      <c r="E111" t="s">
        <v>112</v>
      </c>
      <c r="F111" t="s">
        <v>120</v>
      </c>
      <c r="G111" t="s">
        <v>22</v>
      </c>
      <c r="H111" t="s">
        <v>81</v>
      </c>
      <c r="I111" s="5">
        <v>0</v>
      </c>
      <c r="J111" s="5">
        <v>0</v>
      </c>
      <c r="K111" s="5">
        <v>27421.200000000001</v>
      </c>
    </row>
    <row r="112" spans="1:11" x14ac:dyDescent="0.25">
      <c r="A112">
        <v>2022</v>
      </c>
      <c r="B112">
        <v>7</v>
      </c>
      <c r="C112" t="s">
        <v>164</v>
      </c>
      <c r="D112" t="s">
        <v>111</v>
      </c>
      <c r="E112" t="s">
        <v>112</v>
      </c>
      <c r="F112" t="s">
        <v>120</v>
      </c>
      <c r="G112" t="s">
        <v>24</v>
      </c>
      <c r="H112" t="s">
        <v>16</v>
      </c>
      <c r="I112" s="5">
        <v>36462.160000000003</v>
      </c>
      <c r="J112" s="5">
        <v>36462.160000000003</v>
      </c>
      <c r="K112" s="5">
        <v>36574.160000000003</v>
      </c>
    </row>
    <row r="113" spans="1:11" x14ac:dyDescent="0.25">
      <c r="A113">
        <v>2022</v>
      </c>
      <c r="B113">
        <v>7</v>
      </c>
      <c r="C113" t="s">
        <v>165</v>
      </c>
      <c r="D113" t="s">
        <v>111</v>
      </c>
      <c r="E113" t="s">
        <v>112</v>
      </c>
      <c r="F113" t="s">
        <v>120</v>
      </c>
      <c r="G113" t="s">
        <v>24</v>
      </c>
      <c r="H113" t="s">
        <v>16</v>
      </c>
      <c r="I113" s="5">
        <v>367411.48</v>
      </c>
      <c r="J113" s="5">
        <v>374462.75</v>
      </c>
      <c r="K113" s="5">
        <v>374462.75</v>
      </c>
    </row>
    <row r="114" spans="1:11" x14ac:dyDescent="0.25">
      <c r="A114">
        <v>2022</v>
      </c>
      <c r="B114">
        <v>7</v>
      </c>
      <c r="C114" t="s">
        <v>169</v>
      </c>
      <c r="D114" t="s">
        <v>111</v>
      </c>
      <c r="E114" t="s">
        <v>112</v>
      </c>
      <c r="F114" t="s">
        <v>120</v>
      </c>
      <c r="G114" t="s">
        <v>167</v>
      </c>
      <c r="H114" t="s">
        <v>16</v>
      </c>
      <c r="I114" s="5">
        <v>0</v>
      </c>
      <c r="J114" s="5">
        <v>650384.1</v>
      </c>
      <c r="K114" s="5">
        <v>650384.1</v>
      </c>
    </row>
    <row r="115" spans="1:11" x14ac:dyDescent="0.25">
      <c r="A115">
        <v>2022</v>
      </c>
      <c r="B115">
        <v>7</v>
      </c>
      <c r="C115" t="s">
        <v>170</v>
      </c>
      <c r="D115" t="s">
        <v>111</v>
      </c>
      <c r="E115" t="s">
        <v>112</v>
      </c>
      <c r="F115" t="s">
        <v>120</v>
      </c>
      <c r="G115" t="s">
        <v>167</v>
      </c>
      <c r="H115" t="s">
        <v>16</v>
      </c>
      <c r="I115" s="5">
        <v>0</v>
      </c>
      <c r="J115" s="5">
        <v>1123390.71</v>
      </c>
      <c r="K115" s="5">
        <v>1123390.71</v>
      </c>
    </row>
    <row r="116" spans="1:11" x14ac:dyDescent="0.25">
      <c r="A116">
        <v>2022</v>
      </c>
      <c r="B116">
        <v>7</v>
      </c>
      <c r="C116" t="s">
        <v>183</v>
      </c>
      <c r="D116" t="s">
        <v>111</v>
      </c>
      <c r="E116" t="s">
        <v>112</v>
      </c>
      <c r="F116" t="s">
        <v>120</v>
      </c>
      <c r="G116" t="s">
        <v>26</v>
      </c>
      <c r="H116" t="s">
        <v>16</v>
      </c>
      <c r="I116" s="5">
        <v>-493531.22</v>
      </c>
      <c r="J116" s="5">
        <v>1799396</v>
      </c>
      <c r="K116" s="5">
        <v>2244747.4</v>
      </c>
    </row>
    <row r="117" spans="1:11" x14ac:dyDescent="0.25">
      <c r="A117">
        <v>2022</v>
      </c>
      <c r="B117">
        <v>7</v>
      </c>
      <c r="C117" t="s">
        <v>184</v>
      </c>
      <c r="D117" t="s">
        <v>111</v>
      </c>
      <c r="E117" t="s">
        <v>112</v>
      </c>
      <c r="F117" t="s">
        <v>120</v>
      </c>
      <c r="G117" t="s">
        <v>26</v>
      </c>
      <c r="H117" t="s">
        <v>16</v>
      </c>
      <c r="I117" s="5">
        <v>71816.850000000006</v>
      </c>
      <c r="J117" s="5">
        <v>2399736.84</v>
      </c>
      <c r="K117" s="5">
        <v>2924257.52</v>
      </c>
    </row>
    <row r="118" spans="1:11" x14ac:dyDescent="0.25">
      <c r="A118">
        <v>2022</v>
      </c>
      <c r="B118">
        <v>7</v>
      </c>
      <c r="C118" t="s">
        <v>190</v>
      </c>
      <c r="D118" t="s">
        <v>111</v>
      </c>
      <c r="E118" t="s">
        <v>112</v>
      </c>
      <c r="F118" t="s">
        <v>120</v>
      </c>
      <c r="G118" t="s">
        <v>187</v>
      </c>
      <c r="H118" t="s">
        <v>16</v>
      </c>
      <c r="I118" s="5">
        <v>109890</v>
      </c>
      <c r="J118" s="5">
        <v>109890</v>
      </c>
      <c r="K118" s="5">
        <v>109890</v>
      </c>
    </row>
    <row r="119" spans="1:11" x14ac:dyDescent="0.25">
      <c r="A119">
        <v>2022</v>
      </c>
      <c r="B119">
        <v>7</v>
      </c>
      <c r="C119" t="s">
        <v>191</v>
      </c>
      <c r="D119" t="s">
        <v>111</v>
      </c>
      <c r="E119" t="s">
        <v>112</v>
      </c>
      <c r="F119" t="s">
        <v>120</v>
      </c>
      <c r="G119" t="s">
        <v>187</v>
      </c>
      <c r="H119" t="s">
        <v>16</v>
      </c>
      <c r="I119" s="5">
        <v>871682</v>
      </c>
      <c r="J119" s="5">
        <v>871682</v>
      </c>
      <c r="K119" s="5">
        <v>871682</v>
      </c>
    </row>
    <row r="120" spans="1:11" x14ac:dyDescent="0.25">
      <c r="A120">
        <v>2022</v>
      </c>
      <c r="B120">
        <v>7</v>
      </c>
      <c r="C120" t="s">
        <v>195</v>
      </c>
      <c r="D120" t="s">
        <v>111</v>
      </c>
      <c r="E120" t="s">
        <v>112</v>
      </c>
      <c r="F120" t="s">
        <v>120</v>
      </c>
      <c r="G120" t="s">
        <v>52</v>
      </c>
      <c r="H120" t="s">
        <v>16</v>
      </c>
      <c r="I120" s="5">
        <v>-0.01</v>
      </c>
      <c r="J120" s="5">
        <v>0</v>
      </c>
      <c r="K120" s="5">
        <v>0</v>
      </c>
    </row>
    <row r="121" spans="1:11" x14ac:dyDescent="0.25">
      <c r="A121">
        <v>2022</v>
      </c>
      <c r="B121">
        <v>7</v>
      </c>
      <c r="C121" t="s">
        <v>203</v>
      </c>
      <c r="D121" t="s">
        <v>111</v>
      </c>
      <c r="E121" t="s">
        <v>112</v>
      </c>
      <c r="F121" t="s">
        <v>120</v>
      </c>
      <c r="G121" t="s">
        <v>104</v>
      </c>
      <c r="H121" t="s">
        <v>16</v>
      </c>
      <c r="I121" s="5">
        <v>0</v>
      </c>
      <c r="J121" s="5">
        <v>188437.88</v>
      </c>
      <c r="K121" s="5">
        <v>188437.88</v>
      </c>
    </row>
    <row r="122" spans="1:11" x14ac:dyDescent="0.25">
      <c r="A122">
        <v>2022</v>
      </c>
      <c r="B122">
        <v>7</v>
      </c>
      <c r="C122" t="s">
        <v>204</v>
      </c>
      <c r="D122" t="s">
        <v>111</v>
      </c>
      <c r="E122" t="s">
        <v>112</v>
      </c>
      <c r="F122" t="s">
        <v>120</v>
      </c>
      <c r="G122" t="s">
        <v>104</v>
      </c>
      <c r="H122" t="s">
        <v>16</v>
      </c>
      <c r="I122" s="5">
        <v>-678395.16</v>
      </c>
      <c r="J122" s="5">
        <v>0</v>
      </c>
      <c r="K122" s="5">
        <v>0</v>
      </c>
    </row>
    <row r="123" spans="1:11" x14ac:dyDescent="0.25">
      <c r="A123">
        <v>2022</v>
      </c>
      <c r="B123">
        <v>7</v>
      </c>
      <c r="C123" t="s">
        <v>208</v>
      </c>
      <c r="D123" t="s">
        <v>111</v>
      </c>
      <c r="E123" t="s">
        <v>112</v>
      </c>
      <c r="F123" t="s">
        <v>120</v>
      </c>
      <c r="G123" t="s">
        <v>35</v>
      </c>
      <c r="H123" t="s">
        <v>16</v>
      </c>
      <c r="I123" s="5">
        <v>181503.54</v>
      </c>
      <c r="J123" s="5">
        <v>307600.7</v>
      </c>
      <c r="K123" s="5">
        <v>32509.1</v>
      </c>
    </row>
    <row r="124" spans="1:11" x14ac:dyDescent="0.25">
      <c r="A124">
        <v>2022</v>
      </c>
      <c r="B124">
        <v>7</v>
      </c>
      <c r="C124" t="s">
        <v>209</v>
      </c>
      <c r="D124" t="s">
        <v>111</v>
      </c>
      <c r="E124" t="s">
        <v>112</v>
      </c>
      <c r="F124" t="s">
        <v>120</v>
      </c>
      <c r="G124" t="s">
        <v>35</v>
      </c>
      <c r="H124" t="s">
        <v>16</v>
      </c>
      <c r="I124" s="5">
        <v>926908.08</v>
      </c>
      <c r="J124" s="5">
        <v>334620.28999999998</v>
      </c>
      <c r="K124" s="5">
        <v>357967.05</v>
      </c>
    </row>
    <row r="125" spans="1:11" x14ac:dyDescent="0.25">
      <c r="A125">
        <v>2022</v>
      </c>
      <c r="B125">
        <v>7</v>
      </c>
      <c r="C125" t="s">
        <v>215</v>
      </c>
      <c r="D125" t="s">
        <v>111</v>
      </c>
      <c r="E125" t="s">
        <v>112</v>
      </c>
      <c r="F125" t="s">
        <v>120</v>
      </c>
      <c r="G125" t="s">
        <v>214</v>
      </c>
      <c r="H125" t="s">
        <v>163</v>
      </c>
      <c r="I125" s="5">
        <v>1865847.34</v>
      </c>
      <c r="J125" s="5">
        <v>1865847.34</v>
      </c>
      <c r="K125" s="5">
        <v>1865847.34</v>
      </c>
    </row>
    <row r="126" spans="1:11" x14ac:dyDescent="0.25">
      <c r="A126">
        <v>2022</v>
      </c>
      <c r="B126">
        <v>7</v>
      </c>
      <c r="C126" t="s">
        <v>216</v>
      </c>
      <c r="D126" t="s">
        <v>111</v>
      </c>
      <c r="E126" t="s">
        <v>112</v>
      </c>
      <c r="F126" t="s">
        <v>120</v>
      </c>
      <c r="G126" t="s">
        <v>214</v>
      </c>
      <c r="H126" t="s">
        <v>163</v>
      </c>
      <c r="I126" s="5">
        <v>115737.7</v>
      </c>
      <c r="J126" s="5">
        <v>115737.7</v>
      </c>
      <c r="K126" s="5">
        <v>115737.7</v>
      </c>
    </row>
    <row r="127" spans="1:11" x14ac:dyDescent="0.25">
      <c r="A127">
        <v>2022</v>
      </c>
      <c r="B127">
        <v>7</v>
      </c>
      <c r="C127" t="s">
        <v>219</v>
      </c>
      <c r="D127" t="s">
        <v>111</v>
      </c>
      <c r="E127" t="s">
        <v>112</v>
      </c>
      <c r="F127" t="s">
        <v>120</v>
      </c>
      <c r="G127" t="s">
        <v>15</v>
      </c>
      <c r="H127" t="s">
        <v>163</v>
      </c>
      <c r="I127" s="5">
        <v>8255396.2999999998</v>
      </c>
      <c r="J127" s="5">
        <v>8255396.2999999998</v>
      </c>
      <c r="K127" s="5">
        <v>8255396.2999999998</v>
      </c>
    </row>
    <row r="128" spans="1:11" x14ac:dyDescent="0.25">
      <c r="A128">
        <v>2022</v>
      </c>
      <c r="B128">
        <v>7</v>
      </c>
      <c r="C128" t="s">
        <v>220</v>
      </c>
      <c r="D128" t="s">
        <v>111</v>
      </c>
      <c r="E128" t="s">
        <v>112</v>
      </c>
      <c r="F128" t="s">
        <v>120</v>
      </c>
      <c r="G128" t="s">
        <v>15</v>
      </c>
      <c r="H128" t="s">
        <v>163</v>
      </c>
      <c r="I128" s="5">
        <v>1192367.0900000001</v>
      </c>
      <c r="J128" s="5">
        <v>1192367.0900000001</v>
      </c>
      <c r="K128" s="5">
        <v>1192367.0900000001</v>
      </c>
    </row>
    <row r="129" spans="1:11" x14ac:dyDescent="0.25">
      <c r="A129">
        <v>2022</v>
      </c>
      <c r="B129">
        <v>7</v>
      </c>
      <c r="C129" t="s">
        <v>223</v>
      </c>
      <c r="D129" t="s">
        <v>111</v>
      </c>
      <c r="E129" t="s">
        <v>112</v>
      </c>
      <c r="F129" t="s">
        <v>120</v>
      </c>
      <c r="G129" t="s">
        <v>116</v>
      </c>
      <c r="H129" t="s">
        <v>163</v>
      </c>
      <c r="I129" s="5">
        <v>549392.98</v>
      </c>
      <c r="J129" s="5">
        <v>549392.98</v>
      </c>
      <c r="K129" s="5">
        <v>549392.98</v>
      </c>
    </row>
    <row r="130" spans="1:11" x14ac:dyDescent="0.25">
      <c r="A130">
        <v>2022</v>
      </c>
      <c r="B130">
        <v>7</v>
      </c>
      <c r="C130" t="s">
        <v>224</v>
      </c>
      <c r="D130" t="s">
        <v>111</v>
      </c>
      <c r="E130" t="s">
        <v>112</v>
      </c>
      <c r="F130" t="s">
        <v>120</v>
      </c>
      <c r="G130" t="s">
        <v>116</v>
      </c>
      <c r="H130" t="s">
        <v>163</v>
      </c>
      <c r="I130" s="5">
        <v>36216.97</v>
      </c>
      <c r="J130" s="5">
        <v>36216.97</v>
      </c>
      <c r="K130" s="5">
        <v>36216.97</v>
      </c>
    </row>
    <row r="131" spans="1:11" x14ac:dyDescent="0.25">
      <c r="A131">
        <v>2022</v>
      </c>
      <c r="B131">
        <v>7</v>
      </c>
      <c r="C131" t="s">
        <v>227</v>
      </c>
      <c r="D131" t="s">
        <v>111</v>
      </c>
      <c r="E131" t="s">
        <v>112</v>
      </c>
      <c r="F131" t="s">
        <v>120</v>
      </c>
      <c r="G131" t="s">
        <v>122</v>
      </c>
      <c r="H131" t="s">
        <v>163</v>
      </c>
      <c r="I131" s="5">
        <v>206328.27</v>
      </c>
      <c r="J131" s="5">
        <v>206328.27</v>
      </c>
      <c r="K131" s="5">
        <v>206328.27</v>
      </c>
    </row>
    <row r="132" spans="1:11" x14ac:dyDescent="0.25">
      <c r="A132">
        <v>2022</v>
      </c>
      <c r="B132">
        <v>7</v>
      </c>
      <c r="C132" t="s">
        <v>228</v>
      </c>
      <c r="D132" t="s">
        <v>111</v>
      </c>
      <c r="E132" t="s">
        <v>112</v>
      </c>
      <c r="F132" t="s">
        <v>120</v>
      </c>
      <c r="G132" t="s">
        <v>122</v>
      </c>
      <c r="H132" t="s">
        <v>163</v>
      </c>
      <c r="I132" s="5">
        <v>24669.7</v>
      </c>
      <c r="J132" s="5">
        <v>24669.7</v>
      </c>
      <c r="K132" s="5">
        <v>24669.7</v>
      </c>
    </row>
    <row r="133" spans="1:11" x14ac:dyDescent="0.25">
      <c r="A133">
        <v>2022</v>
      </c>
      <c r="B133">
        <v>7</v>
      </c>
      <c r="C133" t="s">
        <v>231</v>
      </c>
      <c r="D133" t="s">
        <v>111</v>
      </c>
      <c r="E133" t="s">
        <v>112</v>
      </c>
      <c r="F133" t="s">
        <v>120</v>
      </c>
      <c r="G133" t="s">
        <v>124</v>
      </c>
      <c r="H133" t="s">
        <v>163</v>
      </c>
      <c r="I133" s="5">
        <v>124855.39</v>
      </c>
      <c r="J133" s="5">
        <v>124855.39</v>
      </c>
      <c r="K133" s="5">
        <v>145995.4</v>
      </c>
    </row>
    <row r="134" spans="1:11" x14ac:dyDescent="0.25">
      <c r="A134">
        <v>2022</v>
      </c>
      <c r="B134">
        <v>7</v>
      </c>
      <c r="C134" t="s">
        <v>233</v>
      </c>
      <c r="D134" t="s">
        <v>111</v>
      </c>
      <c r="E134" t="s">
        <v>112</v>
      </c>
      <c r="F134" t="s">
        <v>120</v>
      </c>
      <c r="G134" t="s">
        <v>116</v>
      </c>
      <c r="H134" t="s">
        <v>163</v>
      </c>
      <c r="I134" s="5">
        <v>1956948.95</v>
      </c>
      <c r="J134" s="5">
        <v>1956948.95</v>
      </c>
      <c r="K134" s="5">
        <v>2100695.17</v>
      </c>
    </row>
    <row r="135" spans="1:11" x14ac:dyDescent="0.25">
      <c r="A135">
        <v>2022</v>
      </c>
      <c r="B135">
        <v>7</v>
      </c>
      <c r="C135" t="s">
        <v>234</v>
      </c>
      <c r="D135" t="s">
        <v>111</v>
      </c>
      <c r="E135" t="s">
        <v>112</v>
      </c>
      <c r="F135" t="s">
        <v>120</v>
      </c>
      <c r="G135" t="s">
        <v>116</v>
      </c>
      <c r="H135" t="s">
        <v>163</v>
      </c>
      <c r="I135" s="5">
        <v>287640.14</v>
      </c>
      <c r="J135" s="5">
        <v>287640.14</v>
      </c>
      <c r="K135" s="5">
        <v>315580.06</v>
      </c>
    </row>
    <row r="136" spans="1:11" x14ac:dyDescent="0.25">
      <c r="A136">
        <v>2022</v>
      </c>
      <c r="B136">
        <v>7</v>
      </c>
      <c r="C136" t="s">
        <v>238</v>
      </c>
      <c r="D136" t="s">
        <v>111</v>
      </c>
      <c r="E136" t="s">
        <v>112</v>
      </c>
      <c r="F136" t="s">
        <v>120</v>
      </c>
      <c r="G136" t="s">
        <v>22</v>
      </c>
      <c r="H136" t="s">
        <v>163</v>
      </c>
      <c r="I136" s="5">
        <v>576582.68999999994</v>
      </c>
      <c r="J136" s="5">
        <v>0</v>
      </c>
      <c r="K136" s="5">
        <v>0</v>
      </c>
    </row>
    <row r="137" spans="1:11" x14ac:dyDescent="0.25">
      <c r="A137">
        <v>2022</v>
      </c>
      <c r="B137">
        <v>7</v>
      </c>
      <c r="C137" t="s">
        <v>243</v>
      </c>
      <c r="D137" t="s">
        <v>111</v>
      </c>
      <c r="E137" t="s">
        <v>112</v>
      </c>
      <c r="F137" t="s">
        <v>120</v>
      </c>
      <c r="G137" t="s">
        <v>104</v>
      </c>
      <c r="H137" t="s">
        <v>163</v>
      </c>
      <c r="I137" s="5">
        <v>-1260885.29</v>
      </c>
      <c r="J137" s="5">
        <v>491667.8</v>
      </c>
      <c r="K137" s="5">
        <v>434958.89</v>
      </c>
    </row>
    <row r="138" spans="1:11" x14ac:dyDescent="0.25">
      <c r="A138">
        <v>2022</v>
      </c>
      <c r="B138">
        <v>7</v>
      </c>
      <c r="C138" t="s">
        <v>244</v>
      </c>
      <c r="D138" t="s">
        <v>111</v>
      </c>
      <c r="E138" t="s">
        <v>112</v>
      </c>
      <c r="F138" t="s">
        <v>120</v>
      </c>
      <c r="G138" t="s">
        <v>104</v>
      </c>
      <c r="H138" t="s">
        <v>163</v>
      </c>
      <c r="I138" s="5">
        <v>-1265000</v>
      </c>
      <c r="J138" s="5">
        <v>328817.8</v>
      </c>
      <c r="K138" s="5">
        <v>321150.90000000002</v>
      </c>
    </row>
    <row r="139" spans="1:11" x14ac:dyDescent="0.25">
      <c r="A139">
        <v>2022</v>
      </c>
      <c r="B139">
        <v>7</v>
      </c>
      <c r="C139" t="s">
        <v>245</v>
      </c>
      <c r="D139" t="s">
        <v>111</v>
      </c>
      <c r="E139" t="s">
        <v>112</v>
      </c>
      <c r="F139" t="s">
        <v>120</v>
      </c>
      <c r="G139" t="s">
        <v>35</v>
      </c>
      <c r="H139" t="s">
        <v>163</v>
      </c>
      <c r="I139" s="5">
        <v>0</v>
      </c>
      <c r="J139" s="5">
        <v>262164.14</v>
      </c>
      <c r="K139" s="5">
        <v>462642.6</v>
      </c>
    </row>
    <row r="140" spans="1:11" x14ac:dyDescent="0.25">
      <c r="A140">
        <v>2022</v>
      </c>
      <c r="B140">
        <v>7</v>
      </c>
      <c r="C140" t="s">
        <v>113</v>
      </c>
      <c r="D140" t="s">
        <v>111</v>
      </c>
      <c r="E140" t="s">
        <v>112</v>
      </c>
      <c r="F140" t="s">
        <v>114</v>
      </c>
      <c r="G140" t="s">
        <v>15</v>
      </c>
      <c r="H140" t="s">
        <v>16</v>
      </c>
      <c r="I140" s="5">
        <v>675540</v>
      </c>
      <c r="J140" s="5">
        <v>675540</v>
      </c>
      <c r="K140" s="5">
        <v>675540</v>
      </c>
    </row>
    <row r="141" spans="1:11" x14ac:dyDescent="0.25">
      <c r="A141">
        <v>2022</v>
      </c>
      <c r="B141">
        <v>7</v>
      </c>
      <c r="C141" t="s">
        <v>117</v>
      </c>
      <c r="D141" t="s">
        <v>111</v>
      </c>
      <c r="E141" t="s">
        <v>112</v>
      </c>
      <c r="F141" t="s">
        <v>114</v>
      </c>
      <c r="G141" t="s">
        <v>116</v>
      </c>
      <c r="H141" t="s">
        <v>16</v>
      </c>
      <c r="I141" s="5">
        <v>36953.89</v>
      </c>
      <c r="J141" s="5">
        <v>36953.89</v>
      </c>
      <c r="K141" s="5">
        <v>36953.89</v>
      </c>
    </row>
    <row r="142" spans="1:11" x14ac:dyDescent="0.25">
      <c r="A142">
        <v>2022</v>
      </c>
      <c r="B142">
        <v>7</v>
      </c>
      <c r="C142" t="s">
        <v>118</v>
      </c>
      <c r="D142" t="s">
        <v>111</v>
      </c>
      <c r="E142" t="s">
        <v>112</v>
      </c>
      <c r="F142" t="s">
        <v>114</v>
      </c>
      <c r="G142" t="s">
        <v>116</v>
      </c>
      <c r="H142" t="s">
        <v>16</v>
      </c>
      <c r="I142" s="5">
        <v>939.77</v>
      </c>
      <c r="J142" s="5">
        <v>939.77</v>
      </c>
      <c r="K142" s="5">
        <v>939.77</v>
      </c>
    </row>
    <row r="143" spans="1:11" x14ac:dyDescent="0.25">
      <c r="A143">
        <v>2022</v>
      </c>
      <c r="B143">
        <v>7</v>
      </c>
      <c r="C143" t="s">
        <v>121</v>
      </c>
      <c r="D143" t="s">
        <v>111</v>
      </c>
      <c r="E143" t="s">
        <v>112</v>
      </c>
      <c r="F143" t="s">
        <v>114</v>
      </c>
      <c r="G143" t="s">
        <v>122</v>
      </c>
      <c r="H143" t="s">
        <v>16</v>
      </c>
      <c r="I143" s="5">
        <v>1464.48</v>
      </c>
      <c r="J143" s="5">
        <v>1464.48</v>
      </c>
      <c r="K143" s="5">
        <v>1464.48</v>
      </c>
    </row>
    <row r="144" spans="1:11" x14ac:dyDescent="0.25">
      <c r="A144">
        <v>2022</v>
      </c>
      <c r="B144">
        <v>7</v>
      </c>
      <c r="C144" t="s">
        <v>123</v>
      </c>
      <c r="D144" t="s">
        <v>111</v>
      </c>
      <c r="E144" t="s">
        <v>112</v>
      </c>
      <c r="F144" t="s">
        <v>114</v>
      </c>
      <c r="G144" t="s">
        <v>124</v>
      </c>
      <c r="H144" t="s">
        <v>16</v>
      </c>
      <c r="I144" s="5">
        <v>38044.910000000003</v>
      </c>
      <c r="J144" s="5">
        <v>38044.910000000003</v>
      </c>
      <c r="K144" s="5">
        <v>29468.87</v>
      </c>
    </row>
    <row r="145" spans="1:11" x14ac:dyDescent="0.25">
      <c r="A145">
        <v>2022</v>
      </c>
      <c r="B145">
        <v>7</v>
      </c>
      <c r="C145" t="s">
        <v>127</v>
      </c>
      <c r="D145" t="s">
        <v>111</v>
      </c>
      <c r="E145" t="s">
        <v>112</v>
      </c>
      <c r="F145" t="s">
        <v>114</v>
      </c>
      <c r="G145" t="s">
        <v>116</v>
      </c>
      <c r="H145" t="s">
        <v>16</v>
      </c>
      <c r="I145" s="5">
        <v>163905.76999999999</v>
      </c>
      <c r="J145" s="5">
        <v>163905.76999999999</v>
      </c>
      <c r="K145" s="5">
        <v>170558.49</v>
      </c>
    </row>
    <row r="146" spans="1:11" x14ac:dyDescent="0.25">
      <c r="A146">
        <v>2022</v>
      </c>
      <c r="B146">
        <v>7</v>
      </c>
      <c r="C146" t="s">
        <v>130</v>
      </c>
      <c r="D146" t="s">
        <v>111</v>
      </c>
      <c r="E146" t="s">
        <v>112</v>
      </c>
      <c r="F146" t="s">
        <v>114</v>
      </c>
      <c r="G146" t="s">
        <v>69</v>
      </c>
      <c r="H146" t="s">
        <v>16</v>
      </c>
      <c r="I146" s="5">
        <v>3420606.83</v>
      </c>
      <c r="J146" s="5">
        <v>1515059.18</v>
      </c>
      <c r="K146" s="5">
        <v>648916.73</v>
      </c>
    </row>
    <row r="147" spans="1:11" x14ac:dyDescent="0.25">
      <c r="A147">
        <v>2022</v>
      </c>
      <c r="B147">
        <v>7</v>
      </c>
      <c r="C147" t="s">
        <v>137</v>
      </c>
      <c r="D147" t="s">
        <v>111</v>
      </c>
      <c r="E147" t="s">
        <v>112</v>
      </c>
      <c r="F147" t="s">
        <v>114</v>
      </c>
      <c r="G147" t="s">
        <v>136</v>
      </c>
      <c r="H147" t="s">
        <v>16</v>
      </c>
      <c r="I147" s="5">
        <v>5862.26</v>
      </c>
      <c r="J147" s="5">
        <v>5862.26</v>
      </c>
      <c r="K147" s="5">
        <v>5862.26</v>
      </c>
    </row>
    <row r="148" spans="1:11" x14ac:dyDescent="0.25">
      <c r="A148">
        <v>2022</v>
      </c>
      <c r="B148">
        <v>7</v>
      </c>
      <c r="C148" t="s">
        <v>138</v>
      </c>
      <c r="D148" t="s">
        <v>111</v>
      </c>
      <c r="E148" t="s">
        <v>112</v>
      </c>
      <c r="F148" t="s">
        <v>114</v>
      </c>
      <c r="G148" t="s">
        <v>136</v>
      </c>
      <c r="H148" t="s">
        <v>16</v>
      </c>
      <c r="I148" s="5">
        <v>55403.69</v>
      </c>
      <c r="J148" s="5">
        <v>55403.69</v>
      </c>
      <c r="K148" s="5">
        <v>55403.69</v>
      </c>
    </row>
    <row r="149" spans="1:11" x14ac:dyDescent="0.25">
      <c r="A149">
        <v>2022</v>
      </c>
      <c r="B149">
        <v>7</v>
      </c>
      <c r="C149" t="s">
        <v>142</v>
      </c>
      <c r="D149" t="s">
        <v>111</v>
      </c>
      <c r="E149" t="s">
        <v>112</v>
      </c>
      <c r="F149" t="s">
        <v>114</v>
      </c>
      <c r="G149" t="s">
        <v>143</v>
      </c>
      <c r="H149" t="s">
        <v>16</v>
      </c>
      <c r="I149" s="5">
        <v>70</v>
      </c>
      <c r="J149" s="5">
        <v>70</v>
      </c>
      <c r="K149" s="5">
        <v>-930</v>
      </c>
    </row>
    <row r="150" spans="1:11" x14ac:dyDescent="0.25">
      <c r="A150">
        <v>2022</v>
      </c>
      <c r="B150">
        <v>7</v>
      </c>
      <c r="C150" t="s">
        <v>151</v>
      </c>
      <c r="D150" t="s">
        <v>111</v>
      </c>
      <c r="E150" t="s">
        <v>112</v>
      </c>
      <c r="F150" t="s">
        <v>114</v>
      </c>
      <c r="G150" t="s">
        <v>22</v>
      </c>
      <c r="H150" t="s">
        <v>16</v>
      </c>
      <c r="I150" s="5">
        <v>355267.27</v>
      </c>
      <c r="J150" s="5">
        <v>712478.08</v>
      </c>
      <c r="K150" s="5">
        <v>763228.38</v>
      </c>
    </row>
    <row r="151" spans="1:11" x14ac:dyDescent="0.25">
      <c r="A151">
        <v>2022</v>
      </c>
      <c r="B151">
        <v>7</v>
      </c>
      <c r="C151" t="s">
        <v>152</v>
      </c>
      <c r="D151" t="s">
        <v>111</v>
      </c>
      <c r="E151" t="s">
        <v>112</v>
      </c>
      <c r="F151" t="s">
        <v>114</v>
      </c>
      <c r="G151" t="s">
        <v>22</v>
      </c>
      <c r="H151" t="s">
        <v>16</v>
      </c>
      <c r="I151" s="5">
        <v>1507865.41</v>
      </c>
      <c r="J151" s="5">
        <v>748985.96</v>
      </c>
      <c r="K151" s="5">
        <v>1437639.42</v>
      </c>
    </row>
    <row r="152" spans="1:11" x14ac:dyDescent="0.25">
      <c r="A152">
        <v>2022</v>
      </c>
      <c r="B152">
        <v>7</v>
      </c>
      <c r="C152" t="s">
        <v>153</v>
      </c>
      <c r="D152" t="s">
        <v>111</v>
      </c>
      <c r="E152" t="s">
        <v>112</v>
      </c>
      <c r="F152" t="s">
        <v>114</v>
      </c>
      <c r="G152" t="s">
        <v>22</v>
      </c>
      <c r="H152" t="s">
        <v>81</v>
      </c>
      <c r="I152" s="5">
        <v>42684.44</v>
      </c>
      <c r="J152" s="5">
        <v>39062.93</v>
      </c>
      <c r="K152" s="5">
        <v>15014.7</v>
      </c>
    </row>
    <row r="153" spans="1:11" x14ac:dyDescent="0.25">
      <c r="A153">
        <v>2022</v>
      </c>
      <c r="B153">
        <v>7</v>
      </c>
      <c r="C153" t="s">
        <v>159</v>
      </c>
      <c r="D153" t="s">
        <v>111</v>
      </c>
      <c r="E153" t="s">
        <v>112</v>
      </c>
      <c r="F153" t="s">
        <v>114</v>
      </c>
      <c r="G153" t="s">
        <v>24</v>
      </c>
      <c r="H153" t="s">
        <v>16</v>
      </c>
      <c r="I153" s="5">
        <v>22070.71</v>
      </c>
      <c r="J153" s="5">
        <v>22070.71</v>
      </c>
      <c r="K153" s="5">
        <v>22070.71</v>
      </c>
    </row>
    <row r="154" spans="1:11" x14ac:dyDescent="0.25">
      <c r="A154">
        <v>2022</v>
      </c>
      <c r="B154">
        <v>7</v>
      </c>
      <c r="C154" t="s">
        <v>160</v>
      </c>
      <c r="D154" t="s">
        <v>111</v>
      </c>
      <c r="E154" t="s">
        <v>112</v>
      </c>
      <c r="F154" t="s">
        <v>114</v>
      </c>
      <c r="G154" t="s">
        <v>24</v>
      </c>
      <c r="H154" t="s">
        <v>16</v>
      </c>
      <c r="I154" s="5">
        <v>392234.75</v>
      </c>
      <c r="J154" s="5">
        <v>351734.75</v>
      </c>
      <c r="K154" s="5">
        <v>345734.75</v>
      </c>
    </row>
    <row r="155" spans="1:11" x14ac:dyDescent="0.25">
      <c r="A155">
        <v>2022</v>
      </c>
      <c r="B155">
        <v>7</v>
      </c>
      <c r="C155" t="s">
        <v>161</v>
      </c>
      <c r="D155" t="s">
        <v>111</v>
      </c>
      <c r="E155" t="s">
        <v>112</v>
      </c>
      <c r="F155" t="s">
        <v>114</v>
      </c>
      <c r="G155" t="s">
        <v>24</v>
      </c>
      <c r="H155" t="s">
        <v>16</v>
      </c>
      <c r="I155" s="5">
        <v>2191.7600000000002</v>
      </c>
      <c r="J155" s="5">
        <v>2191.7600000000002</v>
      </c>
      <c r="K155" s="5">
        <v>2191.7600000000002</v>
      </c>
    </row>
    <row r="156" spans="1:11" x14ac:dyDescent="0.25">
      <c r="A156">
        <v>2022</v>
      </c>
      <c r="B156">
        <v>7</v>
      </c>
      <c r="C156" t="s">
        <v>162</v>
      </c>
      <c r="D156" t="s">
        <v>111</v>
      </c>
      <c r="E156" t="s">
        <v>112</v>
      </c>
      <c r="F156" t="s">
        <v>114</v>
      </c>
      <c r="G156" t="s">
        <v>24</v>
      </c>
      <c r="H156" t="s">
        <v>163</v>
      </c>
      <c r="I156" s="5">
        <v>554138.54</v>
      </c>
      <c r="J156" s="5">
        <v>1146549.69</v>
      </c>
      <c r="K156" s="5">
        <v>1144457.93</v>
      </c>
    </row>
    <row r="157" spans="1:11" x14ac:dyDescent="0.25">
      <c r="A157">
        <v>2022</v>
      </c>
      <c r="B157">
        <v>7</v>
      </c>
      <c r="C157" t="s">
        <v>166</v>
      </c>
      <c r="D157" t="s">
        <v>111</v>
      </c>
      <c r="E157" t="s">
        <v>112</v>
      </c>
      <c r="F157" t="s">
        <v>114</v>
      </c>
      <c r="G157" t="s">
        <v>167</v>
      </c>
      <c r="H157" t="s">
        <v>16</v>
      </c>
      <c r="I157" s="5">
        <v>0</v>
      </c>
      <c r="J157" s="5">
        <v>177377.48</v>
      </c>
      <c r="K157" s="5">
        <v>177377.48</v>
      </c>
    </row>
    <row r="158" spans="1:11" x14ac:dyDescent="0.25">
      <c r="A158">
        <v>2022</v>
      </c>
      <c r="B158">
        <v>7</v>
      </c>
      <c r="C158" t="s">
        <v>168</v>
      </c>
      <c r="D158" t="s">
        <v>111</v>
      </c>
      <c r="E158" t="s">
        <v>112</v>
      </c>
      <c r="F158" t="s">
        <v>114</v>
      </c>
      <c r="G158" t="s">
        <v>167</v>
      </c>
      <c r="H158" t="s">
        <v>16</v>
      </c>
      <c r="I158" s="5">
        <v>0</v>
      </c>
      <c r="J158" s="5">
        <v>1005139.05</v>
      </c>
      <c r="K158" s="5">
        <v>1008940.83</v>
      </c>
    </row>
    <row r="159" spans="1:11" x14ac:dyDescent="0.25">
      <c r="A159">
        <v>2022</v>
      </c>
      <c r="B159">
        <v>7</v>
      </c>
      <c r="C159" t="s">
        <v>177</v>
      </c>
      <c r="D159" t="s">
        <v>111</v>
      </c>
      <c r="E159" t="s">
        <v>112</v>
      </c>
      <c r="F159" t="s">
        <v>114</v>
      </c>
      <c r="G159" t="s">
        <v>26</v>
      </c>
      <c r="H159" t="s">
        <v>16</v>
      </c>
      <c r="I159" s="5">
        <v>159698</v>
      </c>
      <c r="J159" s="5">
        <v>999320.57</v>
      </c>
      <c r="K159" s="5">
        <v>1057384.1599999999</v>
      </c>
    </row>
    <row r="160" spans="1:11" x14ac:dyDescent="0.25">
      <c r="A160">
        <v>2022</v>
      </c>
      <c r="B160">
        <v>7</v>
      </c>
      <c r="C160" t="s">
        <v>178</v>
      </c>
      <c r="D160" t="s">
        <v>111</v>
      </c>
      <c r="E160" t="s">
        <v>112</v>
      </c>
      <c r="F160" t="s">
        <v>114</v>
      </c>
      <c r="G160" t="s">
        <v>26</v>
      </c>
      <c r="H160" t="s">
        <v>16</v>
      </c>
      <c r="I160" s="5">
        <v>-47643.95</v>
      </c>
      <c r="J160" s="5">
        <v>456953.64</v>
      </c>
      <c r="K160" s="5">
        <v>533852.94999999995</v>
      </c>
    </row>
    <row r="161" spans="1:11" x14ac:dyDescent="0.25">
      <c r="A161">
        <v>2022</v>
      </c>
      <c r="B161">
        <v>7</v>
      </c>
      <c r="C161" t="s">
        <v>179</v>
      </c>
      <c r="D161" t="s">
        <v>111</v>
      </c>
      <c r="E161" t="s">
        <v>112</v>
      </c>
      <c r="F161" t="s">
        <v>114</v>
      </c>
      <c r="G161" t="s">
        <v>26</v>
      </c>
      <c r="H161" t="s">
        <v>16</v>
      </c>
      <c r="I161" s="5">
        <v>-121568.78</v>
      </c>
      <c r="J161" s="5">
        <v>4697388.05</v>
      </c>
      <c r="K161" s="5">
        <v>5591841.4100000001</v>
      </c>
    </row>
    <row r="162" spans="1:11" x14ac:dyDescent="0.25">
      <c r="A162">
        <v>2022</v>
      </c>
      <c r="B162">
        <v>7</v>
      </c>
      <c r="C162" t="s">
        <v>180</v>
      </c>
      <c r="D162" t="s">
        <v>111</v>
      </c>
      <c r="E162" t="s">
        <v>112</v>
      </c>
      <c r="F162" t="s">
        <v>114</v>
      </c>
      <c r="G162" t="s">
        <v>26</v>
      </c>
      <c r="H162" t="s">
        <v>81</v>
      </c>
      <c r="I162" s="5">
        <v>350</v>
      </c>
      <c r="J162" s="5">
        <v>5833.32</v>
      </c>
      <c r="K162" s="5">
        <v>0</v>
      </c>
    </row>
    <row r="163" spans="1:11" x14ac:dyDescent="0.25">
      <c r="A163">
        <v>2022</v>
      </c>
      <c r="B163">
        <v>7</v>
      </c>
      <c r="C163" t="s">
        <v>181</v>
      </c>
      <c r="D163" t="s">
        <v>111</v>
      </c>
      <c r="E163" t="s">
        <v>112</v>
      </c>
      <c r="F163" t="s">
        <v>114</v>
      </c>
      <c r="G163" t="s">
        <v>26</v>
      </c>
      <c r="H163" t="s">
        <v>16</v>
      </c>
      <c r="I163" s="5">
        <v>57200.67</v>
      </c>
      <c r="J163" s="5">
        <v>56166.35</v>
      </c>
      <c r="K163" s="5">
        <v>118396.83</v>
      </c>
    </row>
    <row r="164" spans="1:11" x14ac:dyDescent="0.25">
      <c r="A164">
        <v>2022</v>
      </c>
      <c r="B164">
        <v>7</v>
      </c>
      <c r="C164" t="s">
        <v>182</v>
      </c>
      <c r="D164" t="s">
        <v>111</v>
      </c>
      <c r="E164" t="s">
        <v>112</v>
      </c>
      <c r="F164" t="s">
        <v>114</v>
      </c>
      <c r="G164" t="s">
        <v>26</v>
      </c>
      <c r="H164" t="s">
        <v>163</v>
      </c>
      <c r="I164" s="5">
        <v>197353.79</v>
      </c>
      <c r="J164" s="5">
        <v>555912.56000000006</v>
      </c>
      <c r="K164" s="5">
        <v>586595.96</v>
      </c>
    </row>
    <row r="165" spans="1:11" x14ac:dyDescent="0.25">
      <c r="A165">
        <v>2022</v>
      </c>
      <c r="B165">
        <v>7</v>
      </c>
      <c r="C165" t="s">
        <v>185</v>
      </c>
      <c r="D165" t="s">
        <v>111</v>
      </c>
      <c r="E165" t="s">
        <v>112</v>
      </c>
      <c r="F165" t="s">
        <v>114</v>
      </c>
      <c r="G165" t="s">
        <v>50</v>
      </c>
      <c r="H165" t="s">
        <v>16</v>
      </c>
      <c r="I165" s="5">
        <v>364000</v>
      </c>
      <c r="J165" s="5">
        <v>1511790.9</v>
      </c>
      <c r="K165" s="5">
        <v>1513998.65</v>
      </c>
    </row>
    <row r="166" spans="1:11" x14ac:dyDescent="0.25">
      <c r="A166">
        <v>2022</v>
      </c>
      <c r="B166">
        <v>7</v>
      </c>
      <c r="C166" t="s">
        <v>188</v>
      </c>
      <c r="D166" t="s">
        <v>111</v>
      </c>
      <c r="E166" t="s">
        <v>112</v>
      </c>
      <c r="F166" t="s">
        <v>114</v>
      </c>
      <c r="G166" t="s">
        <v>187</v>
      </c>
      <c r="H166" t="s">
        <v>16</v>
      </c>
      <c r="I166" s="5">
        <v>58329</v>
      </c>
      <c r="J166" s="5">
        <v>58329</v>
      </c>
      <c r="K166" s="5">
        <v>58329</v>
      </c>
    </row>
    <row r="167" spans="1:11" x14ac:dyDescent="0.25">
      <c r="A167">
        <v>2022</v>
      </c>
      <c r="B167">
        <v>7</v>
      </c>
      <c r="C167" t="s">
        <v>189</v>
      </c>
      <c r="D167" t="s">
        <v>111</v>
      </c>
      <c r="E167" t="s">
        <v>112</v>
      </c>
      <c r="F167" t="s">
        <v>114</v>
      </c>
      <c r="G167" t="s">
        <v>187</v>
      </c>
      <c r="H167" t="s">
        <v>16</v>
      </c>
      <c r="I167" s="5">
        <v>816463</v>
      </c>
      <c r="J167" s="5">
        <v>816463</v>
      </c>
      <c r="K167" s="5">
        <v>816463</v>
      </c>
    </row>
    <row r="168" spans="1:11" x14ac:dyDescent="0.25">
      <c r="A168">
        <v>2022</v>
      </c>
      <c r="B168">
        <v>7</v>
      </c>
      <c r="C168" t="s">
        <v>193</v>
      </c>
      <c r="D168" t="s">
        <v>111</v>
      </c>
      <c r="E168" t="s">
        <v>112</v>
      </c>
      <c r="F168" t="s">
        <v>114</v>
      </c>
      <c r="G168" t="s">
        <v>52</v>
      </c>
      <c r="H168" t="s">
        <v>16</v>
      </c>
      <c r="I168" s="5">
        <v>280000</v>
      </c>
      <c r="J168" s="5">
        <v>103860.12</v>
      </c>
      <c r="K168" s="5">
        <v>64647.81</v>
      </c>
    </row>
    <row r="169" spans="1:11" x14ac:dyDescent="0.25">
      <c r="A169">
        <v>2022</v>
      </c>
      <c r="B169">
        <v>7</v>
      </c>
      <c r="C169" t="s">
        <v>194</v>
      </c>
      <c r="D169" t="s">
        <v>111</v>
      </c>
      <c r="E169" t="s">
        <v>112</v>
      </c>
      <c r="F169" t="s">
        <v>114</v>
      </c>
      <c r="G169" t="s">
        <v>52</v>
      </c>
      <c r="H169" t="s">
        <v>16</v>
      </c>
      <c r="I169" s="5">
        <v>8072</v>
      </c>
      <c r="J169" s="5">
        <v>8072</v>
      </c>
      <c r="K169" s="5">
        <v>8072</v>
      </c>
    </row>
    <row r="170" spans="1:11" x14ac:dyDescent="0.25">
      <c r="A170">
        <v>2022</v>
      </c>
      <c r="B170">
        <v>7</v>
      </c>
      <c r="C170" t="s">
        <v>196</v>
      </c>
      <c r="D170" t="s">
        <v>111</v>
      </c>
      <c r="E170" t="s">
        <v>112</v>
      </c>
      <c r="F170" t="s">
        <v>114</v>
      </c>
      <c r="G170" t="s">
        <v>197</v>
      </c>
      <c r="H170" t="s">
        <v>81</v>
      </c>
      <c r="I170" s="5">
        <v>23836.66</v>
      </c>
      <c r="J170" s="5">
        <v>23836.66</v>
      </c>
      <c r="K170" s="5">
        <v>0</v>
      </c>
    </row>
    <row r="171" spans="1:11" x14ac:dyDescent="0.25">
      <c r="A171">
        <v>2022</v>
      </c>
      <c r="B171">
        <v>7</v>
      </c>
      <c r="C171" t="s">
        <v>198</v>
      </c>
      <c r="D171" t="s">
        <v>111</v>
      </c>
      <c r="E171" t="s">
        <v>112</v>
      </c>
      <c r="F171" t="s">
        <v>114</v>
      </c>
      <c r="G171" t="s">
        <v>199</v>
      </c>
      <c r="H171" t="s">
        <v>16</v>
      </c>
      <c r="I171" s="5">
        <v>0</v>
      </c>
      <c r="J171" s="5">
        <v>1886261.34</v>
      </c>
      <c r="K171" s="5">
        <v>1938621.34</v>
      </c>
    </row>
    <row r="172" spans="1:11" x14ac:dyDescent="0.25">
      <c r="A172">
        <v>2022</v>
      </c>
      <c r="B172">
        <v>7</v>
      </c>
      <c r="C172" t="s">
        <v>200</v>
      </c>
      <c r="D172" t="s">
        <v>111</v>
      </c>
      <c r="E172" t="s">
        <v>112</v>
      </c>
      <c r="F172" t="s">
        <v>114</v>
      </c>
      <c r="G172" t="s">
        <v>104</v>
      </c>
      <c r="H172" t="s">
        <v>16</v>
      </c>
      <c r="I172" s="5">
        <v>0</v>
      </c>
      <c r="J172" s="5">
        <v>116321.33</v>
      </c>
      <c r="K172" s="5">
        <v>122939.5</v>
      </c>
    </row>
    <row r="173" spans="1:11" x14ac:dyDescent="0.25">
      <c r="A173">
        <v>2022</v>
      </c>
      <c r="B173">
        <v>7</v>
      </c>
      <c r="C173" t="s">
        <v>201</v>
      </c>
      <c r="D173" t="s">
        <v>111</v>
      </c>
      <c r="E173" t="s">
        <v>112</v>
      </c>
      <c r="F173" t="s">
        <v>114</v>
      </c>
      <c r="G173" t="s">
        <v>104</v>
      </c>
      <c r="H173" t="s">
        <v>81</v>
      </c>
      <c r="I173" s="5">
        <v>1151863.6599999999</v>
      </c>
      <c r="J173" s="5">
        <v>61073.599999999999</v>
      </c>
      <c r="K173" s="5">
        <v>0</v>
      </c>
    </row>
    <row r="174" spans="1:11" x14ac:dyDescent="0.25">
      <c r="A174">
        <v>2022</v>
      </c>
      <c r="B174">
        <v>7</v>
      </c>
      <c r="C174" t="s">
        <v>202</v>
      </c>
      <c r="D174" t="s">
        <v>111</v>
      </c>
      <c r="E174" t="s">
        <v>112</v>
      </c>
      <c r="F174" t="s">
        <v>114</v>
      </c>
      <c r="G174" t="s">
        <v>104</v>
      </c>
      <c r="H174" t="s">
        <v>81</v>
      </c>
      <c r="I174" s="5">
        <v>2877664.62</v>
      </c>
      <c r="J174" s="5">
        <v>0</v>
      </c>
      <c r="K174" s="5">
        <v>0</v>
      </c>
    </row>
    <row r="175" spans="1:11" x14ac:dyDescent="0.25">
      <c r="A175">
        <v>2022</v>
      </c>
      <c r="B175">
        <v>7</v>
      </c>
      <c r="C175" t="s">
        <v>207</v>
      </c>
      <c r="D175" t="s">
        <v>111</v>
      </c>
      <c r="E175" t="s">
        <v>112</v>
      </c>
      <c r="F175" t="s">
        <v>114</v>
      </c>
      <c r="G175" t="s">
        <v>35</v>
      </c>
      <c r="H175" t="s">
        <v>16</v>
      </c>
      <c r="I175" s="5">
        <v>2313952.75</v>
      </c>
      <c r="J175" s="5">
        <v>1563021.24</v>
      </c>
      <c r="K175" s="5">
        <v>737236.97</v>
      </c>
    </row>
    <row r="176" spans="1:11" x14ac:dyDescent="0.25">
      <c r="A176">
        <v>2022</v>
      </c>
      <c r="B176">
        <v>7</v>
      </c>
      <c r="C176" t="s">
        <v>213</v>
      </c>
      <c r="D176" t="s">
        <v>111</v>
      </c>
      <c r="E176" t="s">
        <v>112</v>
      </c>
      <c r="F176" t="s">
        <v>114</v>
      </c>
      <c r="G176" t="s">
        <v>214</v>
      </c>
      <c r="H176" t="s">
        <v>163</v>
      </c>
      <c r="I176" s="5">
        <v>2870235.57</v>
      </c>
      <c r="J176" s="5">
        <v>2870235.57</v>
      </c>
      <c r="K176" s="5">
        <v>2870235.57</v>
      </c>
    </row>
    <row r="177" spans="1:11" x14ac:dyDescent="0.25">
      <c r="A177">
        <v>2022</v>
      </c>
      <c r="B177">
        <v>7</v>
      </c>
      <c r="C177" t="s">
        <v>218</v>
      </c>
      <c r="D177" t="s">
        <v>111</v>
      </c>
      <c r="E177" t="s">
        <v>112</v>
      </c>
      <c r="F177" t="s">
        <v>114</v>
      </c>
      <c r="G177" t="s">
        <v>15</v>
      </c>
      <c r="H177" t="s">
        <v>163</v>
      </c>
      <c r="I177" s="5">
        <v>10318512.51</v>
      </c>
      <c r="J177" s="5">
        <v>10318512.51</v>
      </c>
      <c r="K177" s="5">
        <v>10318512.51</v>
      </c>
    </row>
    <row r="178" spans="1:11" x14ac:dyDescent="0.25">
      <c r="A178">
        <v>2022</v>
      </c>
      <c r="B178">
        <v>7</v>
      </c>
      <c r="C178" t="s">
        <v>222</v>
      </c>
      <c r="D178" t="s">
        <v>111</v>
      </c>
      <c r="E178" t="s">
        <v>112</v>
      </c>
      <c r="F178" t="s">
        <v>114</v>
      </c>
      <c r="G178" t="s">
        <v>116</v>
      </c>
      <c r="H178" t="s">
        <v>163</v>
      </c>
      <c r="I178" s="5">
        <v>917148.15</v>
      </c>
      <c r="J178" s="5">
        <v>917148.15</v>
      </c>
      <c r="K178" s="5">
        <v>917148.15</v>
      </c>
    </row>
    <row r="179" spans="1:11" x14ac:dyDescent="0.25">
      <c r="A179">
        <v>2022</v>
      </c>
      <c r="B179">
        <v>7</v>
      </c>
      <c r="C179" t="s">
        <v>226</v>
      </c>
      <c r="D179" t="s">
        <v>111</v>
      </c>
      <c r="E179" t="s">
        <v>112</v>
      </c>
      <c r="F179" t="s">
        <v>114</v>
      </c>
      <c r="G179" t="s">
        <v>122</v>
      </c>
      <c r="H179" t="s">
        <v>163</v>
      </c>
      <c r="I179" s="5">
        <v>667461.91</v>
      </c>
      <c r="J179" s="5">
        <v>667461.91</v>
      </c>
      <c r="K179" s="5">
        <v>667461.91</v>
      </c>
    </row>
    <row r="180" spans="1:11" x14ac:dyDescent="0.25">
      <c r="A180">
        <v>2022</v>
      </c>
      <c r="B180">
        <v>7</v>
      </c>
      <c r="C180" t="s">
        <v>230</v>
      </c>
      <c r="D180" t="s">
        <v>111</v>
      </c>
      <c r="E180" t="s">
        <v>112</v>
      </c>
      <c r="F180" t="s">
        <v>114</v>
      </c>
      <c r="G180" t="s">
        <v>124</v>
      </c>
      <c r="H180" t="s">
        <v>163</v>
      </c>
      <c r="I180" s="5">
        <v>178120.29</v>
      </c>
      <c r="J180" s="5">
        <v>178120.29</v>
      </c>
      <c r="K180" s="5">
        <v>175531.25</v>
      </c>
    </row>
    <row r="181" spans="1:11" x14ac:dyDescent="0.25">
      <c r="A181">
        <v>2022</v>
      </c>
      <c r="B181">
        <v>7</v>
      </c>
      <c r="C181" t="s">
        <v>232</v>
      </c>
      <c r="D181" t="s">
        <v>111</v>
      </c>
      <c r="E181" t="s">
        <v>112</v>
      </c>
      <c r="F181" t="s">
        <v>114</v>
      </c>
      <c r="G181" t="s">
        <v>116</v>
      </c>
      <c r="H181" t="s">
        <v>163</v>
      </c>
      <c r="I181" s="5">
        <v>2296016.38</v>
      </c>
      <c r="J181" s="5">
        <v>2296016.38</v>
      </c>
      <c r="K181" s="5">
        <v>2490972.2599999998</v>
      </c>
    </row>
    <row r="182" spans="1:11" x14ac:dyDescent="0.25">
      <c r="A182">
        <v>2022</v>
      </c>
      <c r="B182">
        <v>7</v>
      </c>
      <c r="C182" t="s">
        <v>237</v>
      </c>
      <c r="D182" t="s">
        <v>111</v>
      </c>
      <c r="E182" t="s">
        <v>112</v>
      </c>
      <c r="F182" t="s">
        <v>114</v>
      </c>
      <c r="G182" t="s">
        <v>22</v>
      </c>
      <c r="H182" t="s">
        <v>163</v>
      </c>
      <c r="I182" s="5">
        <v>3521978.23</v>
      </c>
      <c r="J182" s="5">
        <v>577260.6</v>
      </c>
      <c r="K182" s="5">
        <v>438088</v>
      </c>
    </row>
    <row r="183" spans="1:11" x14ac:dyDescent="0.25">
      <c r="A183">
        <v>2022</v>
      </c>
      <c r="B183">
        <v>7</v>
      </c>
      <c r="C183" t="s">
        <v>239</v>
      </c>
      <c r="D183" t="s">
        <v>111</v>
      </c>
      <c r="E183" t="s">
        <v>112</v>
      </c>
      <c r="F183" t="s">
        <v>114</v>
      </c>
      <c r="G183" t="s">
        <v>26</v>
      </c>
      <c r="H183" t="s">
        <v>163</v>
      </c>
      <c r="I183" s="5">
        <v>201095</v>
      </c>
      <c r="J183" s="5">
        <v>0</v>
      </c>
      <c r="K183" s="5">
        <v>0</v>
      </c>
    </row>
    <row r="184" spans="1:11" x14ac:dyDescent="0.25">
      <c r="A184">
        <v>2022</v>
      </c>
      <c r="B184">
        <v>7</v>
      </c>
      <c r="C184" t="s">
        <v>240</v>
      </c>
      <c r="D184" t="s">
        <v>111</v>
      </c>
      <c r="E184" t="s">
        <v>112</v>
      </c>
      <c r="F184" t="s">
        <v>114</v>
      </c>
      <c r="G184" t="s">
        <v>50</v>
      </c>
      <c r="H184" t="s">
        <v>163</v>
      </c>
      <c r="I184" s="5">
        <v>0</v>
      </c>
      <c r="J184" s="5">
        <v>27900</v>
      </c>
      <c r="K184" s="5">
        <v>0</v>
      </c>
    </row>
    <row r="185" spans="1:11" x14ac:dyDescent="0.25">
      <c r="A185">
        <v>2022</v>
      </c>
      <c r="B185">
        <v>7</v>
      </c>
      <c r="C185" t="s">
        <v>241</v>
      </c>
      <c r="D185" t="s">
        <v>111</v>
      </c>
      <c r="E185" t="s">
        <v>112</v>
      </c>
      <c r="F185" t="s">
        <v>114</v>
      </c>
      <c r="G185" t="s">
        <v>52</v>
      </c>
      <c r="H185" t="s">
        <v>163</v>
      </c>
      <c r="I185" s="5">
        <v>282.91000000000003</v>
      </c>
      <c r="J185" s="5">
        <v>98599.09</v>
      </c>
      <c r="K185" s="5">
        <v>98599.09</v>
      </c>
    </row>
    <row r="186" spans="1:11" x14ac:dyDescent="0.25">
      <c r="A186">
        <v>2022</v>
      </c>
      <c r="B186">
        <v>7</v>
      </c>
      <c r="C186" t="s">
        <v>242</v>
      </c>
      <c r="D186" t="s">
        <v>111</v>
      </c>
      <c r="E186" t="s">
        <v>112</v>
      </c>
      <c r="F186" t="s">
        <v>114</v>
      </c>
      <c r="G186" t="s">
        <v>104</v>
      </c>
      <c r="H186" t="s">
        <v>163</v>
      </c>
      <c r="I186" s="5">
        <v>-8418962.8900000006</v>
      </c>
      <c r="J186" s="5">
        <v>3037426.7</v>
      </c>
      <c r="K186" s="5">
        <v>2711243.95</v>
      </c>
    </row>
    <row r="187" spans="1:11" x14ac:dyDescent="0.25">
      <c r="A187">
        <v>2022</v>
      </c>
      <c r="B187">
        <v>7</v>
      </c>
      <c r="C187" t="s">
        <v>246</v>
      </c>
      <c r="D187" t="s">
        <v>247</v>
      </c>
      <c r="E187" t="s">
        <v>30</v>
      </c>
      <c r="F187" t="s">
        <v>248</v>
      </c>
      <c r="G187" t="s">
        <v>15</v>
      </c>
      <c r="H187" t="s">
        <v>16</v>
      </c>
      <c r="I187" s="5">
        <v>623062.59</v>
      </c>
      <c r="J187" s="5">
        <v>623062.59</v>
      </c>
      <c r="K187" s="5">
        <v>623062.59</v>
      </c>
    </row>
    <row r="188" spans="1:11" x14ac:dyDescent="0.25">
      <c r="A188">
        <v>2022</v>
      </c>
      <c r="B188">
        <v>7</v>
      </c>
      <c r="C188" t="s">
        <v>249</v>
      </c>
      <c r="D188" t="s">
        <v>247</v>
      </c>
      <c r="E188" t="s">
        <v>30</v>
      </c>
      <c r="F188" t="s">
        <v>248</v>
      </c>
      <c r="G188" t="s">
        <v>69</v>
      </c>
      <c r="H188" t="s">
        <v>16</v>
      </c>
      <c r="I188" s="5">
        <v>150000</v>
      </c>
      <c r="J188" s="5">
        <v>90825.65</v>
      </c>
      <c r="K188" s="5">
        <v>90825.65</v>
      </c>
    </row>
    <row r="189" spans="1:11" x14ac:dyDescent="0.25">
      <c r="A189">
        <v>2022</v>
      </c>
      <c r="B189">
        <v>7</v>
      </c>
      <c r="C189" t="s">
        <v>250</v>
      </c>
      <c r="D189" t="s">
        <v>247</v>
      </c>
      <c r="E189" t="s">
        <v>30</v>
      </c>
      <c r="F189" t="s">
        <v>248</v>
      </c>
      <c r="G189" t="s">
        <v>20</v>
      </c>
      <c r="H189" t="s">
        <v>251</v>
      </c>
      <c r="I189" s="5">
        <v>13798000</v>
      </c>
      <c r="J189" s="5">
        <v>2390096.11</v>
      </c>
      <c r="K189" s="5">
        <v>2390096.11</v>
      </c>
    </row>
    <row r="190" spans="1:11" x14ac:dyDescent="0.25">
      <c r="A190">
        <v>2022</v>
      </c>
      <c r="B190">
        <v>7</v>
      </c>
      <c r="C190" t="s">
        <v>252</v>
      </c>
      <c r="D190" t="s">
        <v>247</v>
      </c>
      <c r="E190" t="s">
        <v>30</v>
      </c>
      <c r="F190" t="s">
        <v>248</v>
      </c>
      <c r="G190" t="s">
        <v>22</v>
      </c>
      <c r="H190" t="s">
        <v>16</v>
      </c>
      <c r="I190" s="5">
        <v>1419.25</v>
      </c>
      <c r="J190" s="5">
        <v>1419.25</v>
      </c>
      <c r="K190" s="5">
        <v>1419.25</v>
      </c>
    </row>
    <row r="191" spans="1:11" x14ac:dyDescent="0.25">
      <c r="A191">
        <v>2022</v>
      </c>
      <c r="B191">
        <v>7</v>
      </c>
      <c r="C191" t="s">
        <v>253</v>
      </c>
      <c r="D191" t="s">
        <v>247</v>
      </c>
      <c r="E191" t="s">
        <v>30</v>
      </c>
      <c r="F191" t="s">
        <v>248</v>
      </c>
      <c r="G191" t="s">
        <v>22</v>
      </c>
      <c r="H191" t="s">
        <v>16</v>
      </c>
      <c r="I191" s="5">
        <v>20207.18</v>
      </c>
      <c r="J191" s="5">
        <v>72630.509999999995</v>
      </c>
      <c r="K191" s="5">
        <v>132888.57</v>
      </c>
    </row>
    <row r="192" spans="1:11" x14ac:dyDescent="0.25">
      <c r="A192">
        <v>2022</v>
      </c>
      <c r="B192">
        <v>7</v>
      </c>
      <c r="C192" t="s">
        <v>254</v>
      </c>
      <c r="D192" t="s">
        <v>247</v>
      </c>
      <c r="E192" t="s">
        <v>30</v>
      </c>
      <c r="F192" t="s">
        <v>248</v>
      </c>
      <c r="G192" t="s">
        <v>22</v>
      </c>
      <c r="H192" t="s">
        <v>16</v>
      </c>
      <c r="I192" s="5">
        <v>0</v>
      </c>
      <c r="J192" s="5">
        <v>25500</v>
      </c>
      <c r="K192" s="5">
        <v>0</v>
      </c>
    </row>
    <row r="193" spans="1:11" x14ac:dyDescent="0.25">
      <c r="A193">
        <v>2022</v>
      </c>
      <c r="B193">
        <v>7</v>
      </c>
      <c r="C193" t="s">
        <v>255</v>
      </c>
      <c r="D193" t="s">
        <v>247</v>
      </c>
      <c r="E193" t="s">
        <v>30</v>
      </c>
      <c r="F193" t="s">
        <v>248</v>
      </c>
      <c r="G193" t="s">
        <v>256</v>
      </c>
      <c r="H193" t="s">
        <v>16</v>
      </c>
      <c r="I193" s="5">
        <v>0</v>
      </c>
      <c r="J193" s="5">
        <v>15089.57</v>
      </c>
      <c r="K193" s="5">
        <v>15089.57</v>
      </c>
    </row>
    <row r="194" spans="1:11" x14ac:dyDescent="0.25">
      <c r="A194">
        <v>2022</v>
      </c>
      <c r="B194">
        <v>7</v>
      </c>
      <c r="C194" t="s">
        <v>257</v>
      </c>
      <c r="D194" t="s">
        <v>247</v>
      </c>
      <c r="E194" t="s">
        <v>30</v>
      </c>
      <c r="F194" t="s">
        <v>248</v>
      </c>
      <c r="G194" t="s">
        <v>24</v>
      </c>
      <c r="H194" t="s">
        <v>16</v>
      </c>
      <c r="I194" s="5">
        <v>0</v>
      </c>
      <c r="J194" s="5">
        <v>10501.85</v>
      </c>
      <c r="K194" s="5">
        <v>10501.85</v>
      </c>
    </row>
    <row r="195" spans="1:11" x14ac:dyDescent="0.25">
      <c r="A195">
        <v>2022</v>
      </c>
      <c r="B195">
        <v>7</v>
      </c>
      <c r="C195" t="s">
        <v>258</v>
      </c>
      <c r="D195" t="s">
        <v>247</v>
      </c>
      <c r="E195" t="s">
        <v>30</v>
      </c>
      <c r="F195" t="s">
        <v>248</v>
      </c>
      <c r="G195" t="s">
        <v>24</v>
      </c>
      <c r="H195" t="s">
        <v>16</v>
      </c>
      <c r="I195" s="5">
        <v>128151.3</v>
      </c>
      <c r="J195" s="5">
        <v>102051.3</v>
      </c>
      <c r="K195" s="5">
        <v>102595.7</v>
      </c>
    </row>
    <row r="196" spans="1:11" x14ac:dyDescent="0.25">
      <c r="A196">
        <v>2022</v>
      </c>
      <c r="B196">
        <v>7</v>
      </c>
      <c r="C196" t="s">
        <v>259</v>
      </c>
      <c r="D196" t="s">
        <v>247</v>
      </c>
      <c r="E196" t="s">
        <v>30</v>
      </c>
      <c r="F196" t="s">
        <v>248</v>
      </c>
      <c r="G196" t="s">
        <v>26</v>
      </c>
      <c r="H196" t="s">
        <v>16</v>
      </c>
      <c r="I196" s="5">
        <v>1504.59</v>
      </c>
      <c r="J196" s="5">
        <v>2612.0100000000002</v>
      </c>
      <c r="K196" s="5">
        <v>3062.01</v>
      </c>
    </row>
    <row r="197" spans="1:11" x14ac:dyDescent="0.25">
      <c r="A197">
        <v>2022</v>
      </c>
      <c r="B197">
        <v>7</v>
      </c>
      <c r="C197" t="s">
        <v>260</v>
      </c>
      <c r="D197" t="s">
        <v>247</v>
      </c>
      <c r="E197" t="s">
        <v>30</v>
      </c>
      <c r="F197" t="s">
        <v>248</v>
      </c>
      <c r="G197" t="s">
        <v>26</v>
      </c>
      <c r="H197" t="s">
        <v>16</v>
      </c>
      <c r="I197" s="5">
        <v>225657.04</v>
      </c>
      <c r="J197" s="5">
        <v>112288.07</v>
      </c>
      <c r="K197" s="5">
        <v>97259.63</v>
      </c>
    </row>
    <row r="198" spans="1:11" x14ac:dyDescent="0.25">
      <c r="A198">
        <v>2022</v>
      </c>
      <c r="B198">
        <v>7</v>
      </c>
      <c r="C198" t="s">
        <v>261</v>
      </c>
      <c r="D198" t="s">
        <v>247</v>
      </c>
      <c r="E198" t="s">
        <v>30</v>
      </c>
      <c r="F198" t="s">
        <v>248</v>
      </c>
      <c r="G198" t="s">
        <v>26</v>
      </c>
      <c r="H198" t="s">
        <v>45</v>
      </c>
      <c r="I198" s="5">
        <v>0</v>
      </c>
      <c r="J198" s="5">
        <v>717717.44</v>
      </c>
      <c r="K198" s="5">
        <v>718717.43</v>
      </c>
    </row>
    <row r="199" spans="1:11" x14ac:dyDescent="0.25">
      <c r="A199">
        <v>2022</v>
      </c>
      <c r="B199">
        <v>7</v>
      </c>
      <c r="C199" t="s">
        <v>262</v>
      </c>
      <c r="D199" t="s">
        <v>247</v>
      </c>
      <c r="E199" t="s">
        <v>30</v>
      </c>
      <c r="F199" t="s">
        <v>248</v>
      </c>
      <c r="G199" t="s">
        <v>26</v>
      </c>
      <c r="H199" t="s">
        <v>16</v>
      </c>
      <c r="I199" s="5">
        <v>-13347.06</v>
      </c>
      <c r="J199" s="5">
        <v>458029.18</v>
      </c>
      <c r="K199" s="5">
        <v>968044.28</v>
      </c>
    </row>
    <row r="200" spans="1:11" x14ac:dyDescent="0.25">
      <c r="A200">
        <v>2022</v>
      </c>
      <c r="B200">
        <v>7</v>
      </c>
      <c r="C200" t="s">
        <v>263</v>
      </c>
      <c r="D200" t="s">
        <v>247</v>
      </c>
      <c r="E200" t="s">
        <v>30</v>
      </c>
      <c r="F200" t="s">
        <v>248</v>
      </c>
      <c r="G200" t="s">
        <v>33</v>
      </c>
      <c r="H200" t="s">
        <v>45</v>
      </c>
      <c r="I200" s="5">
        <v>0</v>
      </c>
      <c r="J200" s="5">
        <v>52207.91</v>
      </c>
      <c r="K200" s="5">
        <v>52207.91</v>
      </c>
    </row>
    <row r="201" spans="1:11" x14ac:dyDescent="0.25">
      <c r="A201">
        <v>2022</v>
      </c>
      <c r="B201">
        <v>7</v>
      </c>
      <c r="C201" t="s">
        <v>264</v>
      </c>
      <c r="D201" t="s">
        <v>247</v>
      </c>
      <c r="E201" t="s">
        <v>30</v>
      </c>
      <c r="F201" t="s">
        <v>248</v>
      </c>
      <c r="G201" t="s">
        <v>33</v>
      </c>
      <c r="H201" t="s">
        <v>16</v>
      </c>
      <c r="I201" s="5">
        <v>562965.75</v>
      </c>
      <c r="J201" s="5">
        <v>562965.75</v>
      </c>
      <c r="K201" s="5">
        <v>562965.75</v>
      </c>
    </row>
    <row r="202" spans="1:11" x14ac:dyDescent="0.25">
      <c r="A202">
        <v>2022</v>
      </c>
      <c r="B202">
        <v>7</v>
      </c>
      <c r="C202" t="s">
        <v>265</v>
      </c>
      <c r="D202" t="s">
        <v>247</v>
      </c>
      <c r="E202" t="s">
        <v>30</v>
      </c>
      <c r="F202" t="s">
        <v>248</v>
      </c>
      <c r="G202" t="s">
        <v>52</v>
      </c>
      <c r="H202" t="s">
        <v>16</v>
      </c>
      <c r="I202" s="5">
        <v>1394.8</v>
      </c>
      <c r="J202" s="5">
        <v>607.1</v>
      </c>
      <c r="K202" s="5">
        <v>724.26</v>
      </c>
    </row>
    <row r="203" spans="1:11" x14ac:dyDescent="0.25">
      <c r="A203">
        <v>2022</v>
      </c>
      <c r="B203">
        <v>7</v>
      </c>
      <c r="C203" t="s">
        <v>266</v>
      </c>
      <c r="D203" t="s">
        <v>247</v>
      </c>
      <c r="E203" t="s">
        <v>30</v>
      </c>
      <c r="F203" t="s">
        <v>248</v>
      </c>
      <c r="G203" t="s">
        <v>52</v>
      </c>
      <c r="H203" t="s">
        <v>16</v>
      </c>
      <c r="I203" s="5">
        <v>0</v>
      </c>
      <c r="J203" s="5">
        <v>0</v>
      </c>
      <c r="K203" s="5">
        <v>4800</v>
      </c>
    </row>
    <row r="204" spans="1:11" x14ac:dyDescent="0.25">
      <c r="A204">
        <v>2022</v>
      </c>
      <c r="B204">
        <v>7</v>
      </c>
      <c r="C204" t="s">
        <v>267</v>
      </c>
      <c r="D204" t="s">
        <v>247</v>
      </c>
      <c r="E204" t="s">
        <v>30</v>
      </c>
      <c r="F204" t="s">
        <v>248</v>
      </c>
      <c r="G204" t="s">
        <v>104</v>
      </c>
      <c r="H204" t="s">
        <v>16</v>
      </c>
      <c r="I204" s="5">
        <v>18006.29</v>
      </c>
      <c r="J204" s="5">
        <v>230537.76</v>
      </c>
      <c r="K204" s="5">
        <v>355654.48</v>
      </c>
    </row>
    <row r="205" spans="1:11" x14ac:dyDescent="0.25">
      <c r="A205">
        <v>2022</v>
      </c>
      <c r="B205">
        <v>7</v>
      </c>
      <c r="C205" t="s">
        <v>268</v>
      </c>
      <c r="D205" t="s">
        <v>247</v>
      </c>
      <c r="E205" t="s">
        <v>30</v>
      </c>
      <c r="F205" t="s">
        <v>248</v>
      </c>
      <c r="G205" t="s">
        <v>104</v>
      </c>
      <c r="H205" t="s">
        <v>81</v>
      </c>
      <c r="I205" s="5">
        <v>0</v>
      </c>
      <c r="J205" s="5">
        <v>36101.08</v>
      </c>
      <c r="K205" s="5">
        <v>36101.08</v>
      </c>
    </row>
    <row r="206" spans="1:11" x14ac:dyDescent="0.25">
      <c r="A206">
        <v>2022</v>
      </c>
      <c r="B206">
        <v>7</v>
      </c>
      <c r="C206" t="s">
        <v>269</v>
      </c>
      <c r="D206" t="s">
        <v>247</v>
      </c>
      <c r="E206" t="s">
        <v>30</v>
      </c>
      <c r="F206" t="s">
        <v>248</v>
      </c>
      <c r="G206" t="s">
        <v>35</v>
      </c>
      <c r="H206" t="s">
        <v>16</v>
      </c>
      <c r="I206" s="5">
        <v>115713.7</v>
      </c>
      <c r="J206" s="5">
        <v>19200</v>
      </c>
      <c r="K206" s="5">
        <v>23280</v>
      </c>
    </row>
    <row r="207" spans="1:11" x14ac:dyDescent="0.25">
      <c r="A207">
        <v>2022</v>
      </c>
      <c r="B207">
        <v>7</v>
      </c>
      <c r="C207" t="s">
        <v>270</v>
      </c>
      <c r="D207" t="s">
        <v>247</v>
      </c>
      <c r="E207" t="s">
        <v>30</v>
      </c>
      <c r="F207" t="s">
        <v>248</v>
      </c>
      <c r="G207" t="s">
        <v>35</v>
      </c>
      <c r="H207" t="s">
        <v>16</v>
      </c>
      <c r="I207" s="5">
        <v>0</v>
      </c>
      <c r="J207" s="5">
        <v>237879.51</v>
      </c>
      <c r="K207" s="5">
        <v>148117.32</v>
      </c>
    </row>
    <row r="208" spans="1:11" x14ac:dyDescent="0.25">
      <c r="A208">
        <v>2022</v>
      </c>
      <c r="B208">
        <v>7</v>
      </c>
      <c r="C208" t="s">
        <v>53</v>
      </c>
      <c r="D208" t="s">
        <v>54</v>
      </c>
      <c r="E208" t="s">
        <v>13</v>
      </c>
      <c r="F208" t="s">
        <v>14</v>
      </c>
      <c r="G208" t="s">
        <v>15</v>
      </c>
      <c r="H208" t="s">
        <v>16</v>
      </c>
      <c r="I208" s="5">
        <v>1999132.64</v>
      </c>
      <c r="J208" s="5">
        <v>1999132.64</v>
      </c>
      <c r="K208" s="5">
        <v>1999132.64</v>
      </c>
    </row>
    <row r="209" spans="1:11" x14ac:dyDescent="0.25">
      <c r="A209">
        <v>2022</v>
      </c>
      <c r="B209">
        <v>7</v>
      </c>
      <c r="C209" t="s">
        <v>55</v>
      </c>
      <c r="D209" t="s">
        <v>54</v>
      </c>
      <c r="E209" t="s">
        <v>13</v>
      </c>
      <c r="F209" t="s">
        <v>14</v>
      </c>
      <c r="G209" t="s">
        <v>22</v>
      </c>
      <c r="H209" t="s">
        <v>16</v>
      </c>
      <c r="I209" s="5">
        <v>42637.74</v>
      </c>
      <c r="J209" s="5">
        <v>372699.52</v>
      </c>
      <c r="K209" s="5">
        <v>408590.65</v>
      </c>
    </row>
    <row r="210" spans="1:11" x14ac:dyDescent="0.25">
      <c r="A210">
        <v>2022</v>
      </c>
      <c r="B210">
        <v>7</v>
      </c>
      <c r="C210" t="s">
        <v>56</v>
      </c>
      <c r="D210" t="s">
        <v>54</v>
      </c>
      <c r="E210" t="s">
        <v>13</v>
      </c>
      <c r="F210" t="s">
        <v>14</v>
      </c>
      <c r="G210" t="s">
        <v>24</v>
      </c>
      <c r="H210" t="s">
        <v>16</v>
      </c>
      <c r="I210" s="5">
        <v>-61585.04</v>
      </c>
      <c r="J210" s="5">
        <v>55747.91</v>
      </c>
      <c r="K210" s="5">
        <v>67499.47</v>
      </c>
    </row>
    <row r="211" spans="1:11" x14ac:dyDescent="0.25">
      <c r="A211">
        <v>2022</v>
      </c>
      <c r="B211">
        <v>7</v>
      </c>
      <c r="C211" t="s">
        <v>57</v>
      </c>
      <c r="D211" t="s">
        <v>54</v>
      </c>
      <c r="E211" t="s">
        <v>13</v>
      </c>
      <c r="F211" t="s">
        <v>14</v>
      </c>
      <c r="G211" t="s">
        <v>26</v>
      </c>
      <c r="H211" t="s">
        <v>16</v>
      </c>
      <c r="I211" s="5">
        <v>31954.15</v>
      </c>
      <c r="J211" s="5">
        <v>28574.21</v>
      </c>
      <c r="K211" s="5">
        <v>37334.620000000003</v>
      </c>
    </row>
    <row r="212" spans="1:11" x14ac:dyDescent="0.25">
      <c r="A212">
        <v>2022</v>
      </c>
      <c r="B212">
        <v>7</v>
      </c>
      <c r="C212" t="s">
        <v>58</v>
      </c>
      <c r="D212" t="s">
        <v>54</v>
      </c>
      <c r="E212" t="s">
        <v>13</v>
      </c>
      <c r="F212" t="s">
        <v>14</v>
      </c>
      <c r="G212" t="s">
        <v>26</v>
      </c>
      <c r="H212" t="s">
        <v>16</v>
      </c>
      <c r="I212" s="5">
        <v>586764.71</v>
      </c>
      <c r="J212" s="5">
        <v>1344510.4</v>
      </c>
      <c r="K212" s="5">
        <v>1163385.22</v>
      </c>
    </row>
    <row r="213" spans="1:11" x14ac:dyDescent="0.25">
      <c r="A213">
        <v>2022</v>
      </c>
      <c r="B213">
        <v>7</v>
      </c>
      <c r="C213" t="s">
        <v>59</v>
      </c>
      <c r="D213" t="s">
        <v>54</v>
      </c>
      <c r="E213" t="s">
        <v>13</v>
      </c>
      <c r="F213" t="s">
        <v>14</v>
      </c>
      <c r="G213" t="s">
        <v>50</v>
      </c>
      <c r="H213" t="s">
        <v>16</v>
      </c>
      <c r="I213" s="5">
        <v>30312.5</v>
      </c>
      <c r="J213" s="5">
        <v>2952780.8</v>
      </c>
      <c r="K213" s="5">
        <v>2955831.03</v>
      </c>
    </row>
    <row r="214" spans="1:11" x14ac:dyDescent="0.25">
      <c r="A214">
        <v>2022</v>
      </c>
      <c r="B214">
        <v>7</v>
      </c>
      <c r="C214" t="s">
        <v>60</v>
      </c>
      <c r="D214" t="s">
        <v>54</v>
      </c>
      <c r="E214" t="s">
        <v>13</v>
      </c>
      <c r="F214" t="s">
        <v>14</v>
      </c>
      <c r="G214" t="s">
        <v>52</v>
      </c>
      <c r="H214" t="s">
        <v>16</v>
      </c>
      <c r="I214" s="5">
        <v>320</v>
      </c>
      <c r="J214" s="5">
        <v>0</v>
      </c>
      <c r="K214" s="5">
        <v>0</v>
      </c>
    </row>
    <row r="215" spans="1:11" x14ac:dyDescent="0.25">
      <c r="A215">
        <v>2022</v>
      </c>
      <c r="B215">
        <v>7</v>
      </c>
      <c r="C215" t="s">
        <v>61</v>
      </c>
      <c r="D215" t="s">
        <v>54</v>
      </c>
      <c r="E215" t="s">
        <v>13</v>
      </c>
      <c r="F215" t="s">
        <v>14</v>
      </c>
      <c r="G215" t="s">
        <v>35</v>
      </c>
      <c r="H215" t="s">
        <v>16</v>
      </c>
      <c r="I215" s="5">
        <v>0</v>
      </c>
      <c r="J215" s="5">
        <v>3780</v>
      </c>
      <c r="K215" s="5">
        <v>3780</v>
      </c>
    </row>
    <row r="216" spans="1:11" x14ac:dyDescent="0.25">
      <c r="A216">
        <v>2022</v>
      </c>
      <c r="B216">
        <v>7</v>
      </c>
      <c r="C216" t="s">
        <v>99</v>
      </c>
      <c r="D216" t="s">
        <v>92</v>
      </c>
      <c r="E216" t="s">
        <v>100</v>
      </c>
      <c r="F216" t="s">
        <v>93</v>
      </c>
      <c r="G216" t="s">
        <v>26</v>
      </c>
      <c r="H216" t="s">
        <v>16</v>
      </c>
      <c r="I216" s="5">
        <v>0</v>
      </c>
      <c r="J216" s="5">
        <v>0</v>
      </c>
      <c r="K216" s="5">
        <v>276042.92</v>
      </c>
    </row>
    <row r="217" spans="1:11" x14ac:dyDescent="0.25">
      <c r="A217">
        <v>2022</v>
      </c>
      <c r="B217">
        <v>7</v>
      </c>
      <c r="C217" t="s">
        <v>108</v>
      </c>
      <c r="D217" t="s">
        <v>92</v>
      </c>
      <c r="E217" t="s">
        <v>100</v>
      </c>
      <c r="F217" t="s">
        <v>93</v>
      </c>
      <c r="G217" t="s">
        <v>104</v>
      </c>
      <c r="H217" t="s">
        <v>16</v>
      </c>
      <c r="I217" s="5">
        <v>420000</v>
      </c>
      <c r="J217" s="5">
        <v>613221.06999999995</v>
      </c>
      <c r="K217" s="5">
        <v>905816.06</v>
      </c>
    </row>
    <row r="218" spans="1:11" x14ac:dyDescent="0.25">
      <c r="A218">
        <v>2022</v>
      </c>
      <c r="B218">
        <v>7</v>
      </c>
      <c r="C218" t="s">
        <v>91</v>
      </c>
      <c r="D218" t="s">
        <v>92</v>
      </c>
      <c r="E218" t="s">
        <v>64</v>
      </c>
      <c r="F218" t="s">
        <v>93</v>
      </c>
      <c r="G218" t="s">
        <v>15</v>
      </c>
      <c r="H218" t="s">
        <v>16</v>
      </c>
      <c r="I218" s="5">
        <v>320006.76</v>
      </c>
      <c r="J218" s="5">
        <v>320006.76</v>
      </c>
      <c r="K218" s="5">
        <v>320006.76</v>
      </c>
    </row>
    <row r="219" spans="1:11" x14ac:dyDescent="0.25">
      <c r="A219">
        <v>2022</v>
      </c>
      <c r="B219">
        <v>7</v>
      </c>
      <c r="C219" t="s">
        <v>94</v>
      </c>
      <c r="D219" t="s">
        <v>92</v>
      </c>
      <c r="E219" t="s">
        <v>64</v>
      </c>
      <c r="F219" t="s">
        <v>93</v>
      </c>
      <c r="G219" t="s">
        <v>22</v>
      </c>
      <c r="H219" t="s">
        <v>16</v>
      </c>
      <c r="I219" s="5">
        <v>0</v>
      </c>
      <c r="J219" s="5">
        <v>416.3</v>
      </c>
      <c r="K219" s="5">
        <v>0</v>
      </c>
    </row>
    <row r="220" spans="1:11" x14ac:dyDescent="0.25">
      <c r="A220">
        <v>2022</v>
      </c>
      <c r="B220">
        <v>7</v>
      </c>
      <c r="C220" t="s">
        <v>95</v>
      </c>
      <c r="D220" t="s">
        <v>92</v>
      </c>
      <c r="E220" t="s">
        <v>64</v>
      </c>
      <c r="F220" t="s">
        <v>93</v>
      </c>
      <c r="G220" t="s">
        <v>24</v>
      </c>
      <c r="H220" t="s">
        <v>16</v>
      </c>
      <c r="I220" s="5">
        <v>-0.1</v>
      </c>
      <c r="J220" s="5">
        <v>15189.48</v>
      </c>
      <c r="K220" s="5">
        <v>15779.61</v>
      </c>
    </row>
    <row r="221" spans="1:11" x14ac:dyDescent="0.25">
      <c r="A221">
        <v>2022</v>
      </c>
      <c r="B221">
        <v>7</v>
      </c>
      <c r="C221" t="s">
        <v>96</v>
      </c>
      <c r="D221" t="s">
        <v>92</v>
      </c>
      <c r="E221" t="s">
        <v>64</v>
      </c>
      <c r="F221" t="s">
        <v>93</v>
      </c>
      <c r="G221" t="s">
        <v>26</v>
      </c>
      <c r="H221" t="s">
        <v>45</v>
      </c>
      <c r="I221" s="5">
        <v>21408</v>
      </c>
      <c r="J221" s="5">
        <v>21408</v>
      </c>
      <c r="K221" s="5">
        <v>21408</v>
      </c>
    </row>
    <row r="222" spans="1:11" x14ac:dyDescent="0.25">
      <c r="A222">
        <v>2022</v>
      </c>
      <c r="B222">
        <v>7</v>
      </c>
      <c r="C222" t="s">
        <v>97</v>
      </c>
      <c r="D222" t="s">
        <v>92</v>
      </c>
      <c r="E222" t="s">
        <v>64</v>
      </c>
      <c r="F222" t="s">
        <v>93</v>
      </c>
      <c r="G222" t="s">
        <v>26</v>
      </c>
      <c r="H222" t="s">
        <v>81</v>
      </c>
      <c r="I222" s="5">
        <v>0</v>
      </c>
      <c r="J222" s="5">
        <v>0</v>
      </c>
      <c r="K222" s="5">
        <v>23500</v>
      </c>
    </row>
    <row r="223" spans="1:11" x14ac:dyDescent="0.25">
      <c r="A223">
        <v>2022</v>
      </c>
      <c r="B223">
        <v>7</v>
      </c>
      <c r="C223" t="s">
        <v>98</v>
      </c>
      <c r="D223" t="s">
        <v>92</v>
      </c>
      <c r="E223" t="s">
        <v>64</v>
      </c>
      <c r="F223" t="s">
        <v>93</v>
      </c>
      <c r="G223" t="s">
        <v>26</v>
      </c>
      <c r="H223" t="s">
        <v>16</v>
      </c>
      <c r="I223" s="5">
        <v>87550.2</v>
      </c>
      <c r="J223" s="5">
        <v>1233903.0900000001</v>
      </c>
      <c r="K223" s="5">
        <v>1763581.98</v>
      </c>
    </row>
    <row r="224" spans="1:11" x14ac:dyDescent="0.25">
      <c r="A224">
        <v>2022</v>
      </c>
      <c r="B224">
        <v>7</v>
      </c>
      <c r="C224" t="s">
        <v>101</v>
      </c>
      <c r="D224" t="s">
        <v>92</v>
      </c>
      <c r="E224" t="s">
        <v>64</v>
      </c>
      <c r="F224" t="s">
        <v>93</v>
      </c>
      <c r="G224" t="s">
        <v>50</v>
      </c>
      <c r="H224" t="s">
        <v>16</v>
      </c>
      <c r="I224" s="5">
        <v>0</v>
      </c>
      <c r="J224" s="5">
        <v>239</v>
      </c>
      <c r="K224" s="5">
        <v>239</v>
      </c>
    </row>
    <row r="225" spans="1:11" x14ac:dyDescent="0.25">
      <c r="A225">
        <v>2022</v>
      </c>
      <c r="B225">
        <v>7</v>
      </c>
      <c r="C225" t="s">
        <v>102</v>
      </c>
      <c r="D225" t="s">
        <v>92</v>
      </c>
      <c r="E225" t="s">
        <v>64</v>
      </c>
      <c r="F225" t="s">
        <v>93</v>
      </c>
      <c r="G225" t="s">
        <v>33</v>
      </c>
      <c r="H225" t="s">
        <v>16</v>
      </c>
      <c r="I225" s="5">
        <v>0</v>
      </c>
      <c r="J225" s="5">
        <v>0</v>
      </c>
      <c r="K225" s="5">
        <v>10935.93</v>
      </c>
    </row>
    <row r="226" spans="1:11" x14ac:dyDescent="0.25">
      <c r="A226">
        <v>2022</v>
      </c>
      <c r="B226">
        <v>7</v>
      </c>
      <c r="C226" t="s">
        <v>103</v>
      </c>
      <c r="D226" t="s">
        <v>92</v>
      </c>
      <c r="E226" t="s">
        <v>64</v>
      </c>
      <c r="F226" t="s">
        <v>93</v>
      </c>
      <c r="G226" t="s">
        <v>104</v>
      </c>
      <c r="H226" t="s">
        <v>16</v>
      </c>
      <c r="I226" s="5">
        <v>-63280.03</v>
      </c>
      <c r="J226" s="5">
        <v>175891.20000000001</v>
      </c>
      <c r="K226" s="5">
        <v>234834.76</v>
      </c>
    </row>
    <row r="227" spans="1:11" x14ac:dyDescent="0.25">
      <c r="A227">
        <v>2022</v>
      </c>
      <c r="B227">
        <v>7</v>
      </c>
      <c r="C227" t="s">
        <v>105</v>
      </c>
      <c r="D227" t="s">
        <v>92</v>
      </c>
      <c r="E227" t="s">
        <v>64</v>
      </c>
      <c r="F227" t="s">
        <v>93</v>
      </c>
      <c r="G227" t="s">
        <v>104</v>
      </c>
      <c r="H227" t="s">
        <v>16</v>
      </c>
      <c r="I227" s="5">
        <v>938497.45</v>
      </c>
      <c r="J227" s="5">
        <v>135063.06</v>
      </c>
      <c r="K227" s="5">
        <v>368390.9</v>
      </c>
    </row>
    <row r="228" spans="1:11" x14ac:dyDescent="0.25">
      <c r="A228">
        <v>2022</v>
      </c>
      <c r="B228">
        <v>7</v>
      </c>
      <c r="C228" t="s">
        <v>106</v>
      </c>
      <c r="D228" t="s">
        <v>92</v>
      </c>
      <c r="E228" t="s">
        <v>64</v>
      </c>
      <c r="F228" t="s">
        <v>93</v>
      </c>
      <c r="G228" t="s">
        <v>104</v>
      </c>
      <c r="H228" t="s">
        <v>16</v>
      </c>
      <c r="I228" s="5">
        <v>-223295.19</v>
      </c>
      <c r="J228" s="5">
        <v>181611.23</v>
      </c>
      <c r="K228" s="5">
        <v>642.5</v>
      </c>
    </row>
    <row r="229" spans="1:11" x14ac:dyDescent="0.25">
      <c r="A229">
        <v>2022</v>
      </c>
      <c r="B229">
        <v>7</v>
      </c>
      <c r="C229" t="s">
        <v>107</v>
      </c>
      <c r="D229" t="s">
        <v>92</v>
      </c>
      <c r="E229" t="s">
        <v>64</v>
      </c>
      <c r="F229" t="s">
        <v>93</v>
      </c>
      <c r="G229" t="s">
        <v>104</v>
      </c>
      <c r="H229" t="s">
        <v>81</v>
      </c>
      <c r="I229" s="5">
        <v>0</v>
      </c>
      <c r="J229" s="5">
        <v>69918.67</v>
      </c>
      <c r="K229" s="5">
        <v>69918.67</v>
      </c>
    </row>
    <row r="230" spans="1:11" x14ac:dyDescent="0.25">
      <c r="A230">
        <v>2022</v>
      </c>
      <c r="B230">
        <v>7</v>
      </c>
      <c r="C230" t="s">
        <v>109</v>
      </c>
      <c r="D230" t="s">
        <v>92</v>
      </c>
      <c r="E230" t="s">
        <v>64</v>
      </c>
      <c r="F230" t="s">
        <v>93</v>
      </c>
      <c r="G230" t="s">
        <v>35</v>
      </c>
      <c r="H230" t="s">
        <v>16</v>
      </c>
      <c r="I230" s="5">
        <v>0</v>
      </c>
      <c r="J230" s="5">
        <v>19351.580000000002</v>
      </c>
      <c r="K230" s="5">
        <v>0</v>
      </c>
    </row>
    <row r="231" spans="1:11" x14ac:dyDescent="0.25">
      <c r="A231">
        <v>2022</v>
      </c>
      <c r="B231">
        <v>7</v>
      </c>
      <c r="C231" t="s">
        <v>17</v>
      </c>
      <c r="D231" t="s">
        <v>18</v>
      </c>
      <c r="E231" t="s">
        <v>13</v>
      </c>
      <c r="F231" t="s">
        <v>14</v>
      </c>
      <c r="G231" t="s">
        <v>15</v>
      </c>
      <c r="H231" t="s">
        <v>16</v>
      </c>
      <c r="I231" s="5">
        <v>653894.89</v>
      </c>
      <c r="J231" s="5">
        <v>653894.89</v>
      </c>
      <c r="K231" s="5">
        <v>653894.89</v>
      </c>
    </row>
    <row r="232" spans="1:11" x14ac:dyDescent="0.25">
      <c r="A232">
        <v>2022</v>
      </c>
      <c r="B232">
        <v>7</v>
      </c>
      <c r="C232" t="s">
        <v>19</v>
      </c>
      <c r="D232" t="s">
        <v>18</v>
      </c>
      <c r="E232" t="s">
        <v>13</v>
      </c>
      <c r="F232" t="s">
        <v>14</v>
      </c>
      <c r="G232" t="s">
        <v>20</v>
      </c>
      <c r="H232" t="s">
        <v>16</v>
      </c>
      <c r="I232" s="5">
        <v>1080027.93</v>
      </c>
      <c r="J232" s="5">
        <v>0</v>
      </c>
      <c r="K232" s="5">
        <v>0</v>
      </c>
    </row>
    <row r="233" spans="1:11" x14ac:dyDescent="0.25">
      <c r="A233">
        <v>2022</v>
      </c>
      <c r="B233">
        <v>7</v>
      </c>
      <c r="C233" t="s">
        <v>21</v>
      </c>
      <c r="D233" t="s">
        <v>18</v>
      </c>
      <c r="E233" t="s">
        <v>13</v>
      </c>
      <c r="F233" t="s">
        <v>14</v>
      </c>
      <c r="G233" t="s">
        <v>22</v>
      </c>
      <c r="H233" t="s">
        <v>16</v>
      </c>
      <c r="I233" s="5">
        <v>29354.240000000002</v>
      </c>
      <c r="J233" s="5">
        <v>31602.33</v>
      </c>
      <c r="K233" s="5">
        <v>43619.67</v>
      </c>
    </row>
    <row r="234" spans="1:11" x14ac:dyDescent="0.25">
      <c r="A234">
        <v>2022</v>
      </c>
      <c r="B234">
        <v>7</v>
      </c>
      <c r="C234" t="s">
        <v>23</v>
      </c>
      <c r="D234" t="s">
        <v>18</v>
      </c>
      <c r="E234" t="s">
        <v>13</v>
      </c>
      <c r="F234" t="s">
        <v>14</v>
      </c>
      <c r="G234" t="s">
        <v>24</v>
      </c>
      <c r="H234" t="s">
        <v>16</v>
      </c>
      <c r="I234" s="5">
        <v>0</v>
      </c>
      <c r="J234" s="5">
        <v>10182.02</v>
      </c>
      <c r="K234" s="5">
        <v>10182.02</v>
      </c>
    </row>
    <row r="235" spans="1:11" x14ac:dyDescent="0.25">
      <c r="A235">
        <v>2022</v>
      </c>
      <c r="B235">
        <v>7</v>
      </c>
      <c r="C235" t="s">
        <v>25</v>
      </c>
      <c r="D235" t="s">
        <v>18</v>
      </c>
      <c r="E235" t="s">
        <v>13</v>
      </c>
      <c r="F235" t="s">
        <v>14</v>
      </c>
      <c r="G235" t="s">
        <v>26</v>
      </c>
      <c r="H235" t="s">
        <v>16</v>
      </c>
      <c r="I235" s="5">
        <v>1096730.31</v>
      </c>
      <c r="J235" s="5">
        <v>326879.65000000002</v>
      </c>
      <c r="K235" s="5">
        <v>300777.90999999997</v>
      </c>
    </row>
    <row r="236" spans="1:11" x14ac:dyDescent="0.25">
      <c r="A236">
        <v>2022</v>
      </c>
      <c r="B236">
        <v>7</v>
      </c>
      <c r="C236" t="s">
        <v>27</v>
      </c>
      <c r="D236" t="s">
        <v>18</v>
      </c>
      <c r="E236" t="s">
        <v>13</v>
      </c>
      <c r="F236" t="s">
        <v>14</v>
      </c>
      <c r="G236" t="s">
        <v>26</v>
      </c>
      <c r="H236" t="s">
        <v>16</v>
      </c>
      <c r="I236" s="5">
        <v>5625000</v>
      </c>
      <c r="J236" s="5">
        <v>830953.94</v>
      </c>
      <c r="K236" s="5">
        <v>1071534.3999999999</v>
      </c>
    </row>
    <row r="237" spans="1:11" x14ac:dyDescent="0.25">
      <c r="A237">
        <v>2022</v>
      </c>
      <c r="B237">
        <v>7</v>
      </c>
      <c r="C237" t="s">
        <v>28</v>
      </c>
      <c r="D237" t="s">
        <v>18</v>
      </c>
      <c r="E237" t="s">
        <v>13</v>
      </c>
      <c r="F237" t="s">
        <v>14</v>
      </c>
      <c r="G237" t="s">
        <v>26</v>
      </c>
      <c r="H237" t="s">
        <v>16</v>
      </c>
      <c r="I237" s="5">
        <v>0</v>
      </c>
      <c r="J237" s="5">
        <v>245576.1</v>
      </c>
      <c r="K237" s="5">
        <v>245576.1</v>
      </c>
    </row>
    <row r="238" spans="1:11" x14ac:dyDescent="0.25">
      <c r="A238">
        <v>2022</v>
      </c>
      <c r="B238">
        <v>7</v>
      </c>
      <c r="C238" t="s">
        <v>34</v>
      </c>
      <c r="D238" t="s">
        <v>18</v>
      </c>
      <c r="E238" t="s">
        <v>13</v>
      </c>
      <c r="F238" t="s">
        <v>14</v>
      </c>
      <c r="G238" t="s">
        <v>35</v>
      </c>
      <c r="H238" t="s">
        <v>16</v>
      </c>
      <c r="I238" s="5">
        <v>3547.98</v>
      </c>
      <c r="J238" s="5">
        <v>0</v>
      </c>
      <c r="K238" s="5">
        <v>0</v>
      </c>
    </row>
    <row r="239" spans="1:11" x14ac:dyDescent="0.25">
      <c r="A239">
        <v>2022</v>
      </c>
      <c r="B239">
        <v>7</v>
      </c>
      <c r="C239" t="s">
        <v>29</v>
      </c>
      <c r="D239" t="s">
        <v>18</v>
      </c>
      <c r="E239" t="s">
        <v>30</v>
      </c>
      <c r="F239" t="s">
        <v>31</v>
      </c>
      <c r="G239" t="s">
        <v>26</v>
      </c>
      <c r="H239" t="s">
        <v>16</v>
      </c>
      <c r="I239" s="5">
        <v>211647.6</v>
      </c>
      <c r="J239" s="5">
        <v>211647.6</v>
      </c>
      <c r="K239" s="5">
        <v>211647.6</v>
      </c>
    </row>
    <row r="240" spans="1:11" x14ac:dyDescent="0.25">
      <c r="A240">
        <v>2022</v>
      </c>
      <c r="B240">
        <v>7</v>
      </c>
      <c r="C240" t="s">
        <v>32</v>
      </c>
      <c r="D240" t="s">
        <v>18</v>
      </c>
      <c r="E240" t="s">
        <v>30</v>
      </c>
      <c r="F240" t="s">
        <v>31</v>
      </c>
      <c r="G240" t="s">
        <v>33</v>
      </c>
      <c r="H240" t="s">
        <v>16</v>
      </c>
      <c r="I240" s="5">
        <v>500992.52</v>
      </c>
      <c r="J240" s="5">
        <v>500992.52</v>
      </c>
      <c r="K240" s="5">
        <v>500992.52</v>
      </c>
    </row>
    <row r="241" spans="1:11" x14ac:dyDescent="0.25">
      <c r="A241">
        <v>2022</v>
      </c>
      <c r="B241">
        <v>7</v>
      </c>
      <c r="C241" t="s">
        <v>449</v>
      </c>
      <c r="D241" t="s">
        <v>450</v>
      </c>
      <c r="E241" t="s">
        <v>13</v>
      </c>
      <c r="F241" t="s">
        <v>14</v>
      </c>
      <c r="G241" t="s">
        <v>15</v>
      </c>
      <c r="H241" t="s">
        <v>16</v>
      </c>
      <c r="I241" s="5">
        <v>206647.54</v>
      </c>
      <c r="J241" s="5">
        <v>206647.54</v>
      </c>
      <c r="K241" s="5">
        <v>206647.54</v>
      </c>
    </row>
    <row r="242" spans="1:11" x14ac:dyDescent="0.25">
      <c r="A242">
        <v>2022</v>
      </c>
      <c r="B242">
        <v>7</v>
      </c>
      <c r="C242" t="s">
        <v>451</v>
      </c>
      <c r="D242" t="s">
        <v>450</v>
      </c>
      <c r="E242" t="s">
        <v>13</v>
      </c>
      <c r="F242" t="s">
        <v>14</v>
      </c>
      <c r="G242" t="s">
        <v>22</v>
      </c>
      <c r="H242" t="s">
        <v>16</v>
      </c>
      <c r="I242" s="5">
        <v>0</v>
      </c>
      <c r="J242" s="5">
        <v>1042.7</v>
      </c>
      <c r="K242" s="5">
        <v>1199.7</v>
      </c>
    </row>
    <row r="243" spans="1:11" x14ac:dyDescent="0.25">
      <c r="A243">
        <v>2022</v>
      </c>
      <c r="B243">
        <v>7</v>
      </c>
      <c r="C243" t="s">
        <v>452</v>
      </c>
      <c r="D243" t="s">
        <v>450</v>
      </c>
      <c r="E243" t="s">
        <v>13</v>
      </c>
      <c r="F243" t="s">
        <v>14</v>
      </c>
      <c r="G243" t="s">
        <v>24</v>
      </c>
      <c r="H243" t="s">
        <v>16</v>
      </c>
      <c r="I243" s="5">
        <v>0</v>
      </c>
      <c r="J243" s="5">
        <v>10998.43</v>
      </c>
      <c r="K243" s="5">
        <v>10998.43</v>
      </c>
    </row>
    <row r="244" spans="1:11" x14ac:dyDescent="0.25">
      <c r="A244">
        <v>2022</v>
      </c>
      <c r="B244">
        <v>7</v>
      </c>
      <c r="C244" t="s">
        <v>453</v>
      </c>
      <c r="D244" t="s">
        <v>450</v>
      </c>
      <c r="E244" t="s">
        <v>13</v>
      </c>
      <c r="F244" t="s">
        <v>14</v>
      </c>
      <c r="G244" t="s">
        <v>26</v>
      </c>
      <c r="H244" t="s">
        <v>16</v>
      </c>
      <c r="I244" s="5">
        <v>20368.71</v>
      </c>
      <c r="J244" s="5">
        <v>24608.74</v>
      </c>
      <c r="K244" s="5">
        <v>110287.72</v>
      </c>
    </row>
    <row r="245" spans="1:11" x14ac:dyDescent="0.25">
      <c r="A245">
        <v>2022</v>
      </c>
      <c r="B245">
        <v>7</v>
      </c>
      <c r="C245" t="s">
        <v>458</v>
      </c>
      <c r="D245" t="s">
        <v>450</v>
      </c>
      <c r="E245" t="s">
        <v>459</v>
      </c>
      <c r="F245" t="s">
        <v>460</v>
      </c>
      <c r="G245" t="s">
        <v>26</v>
      </c>
      <c r="H245" t="s">
        <v>16</v>
      </c>
      <c r="I245" s="5">
        <v>0</v>
      </c>
      <c r="J245" s="5">
        <v>32503.33</v>
      </c>
      <c r="K245" s="5">
        <v>35423.33</v>
      </c>
    </row>
    <row r="246" spans="1:11" x14ac:dyDescent="0.25">
      <c r="A246">
        <v>2022</v>
      </c>
      <c r="B246">
        <v>7</v>
      </c>
      <c r="C246" t="s">
        <v>464</v>
      </c>
      <c r="D246" t="s">
        <v>450</v>
      </c>
      <c r="E246" t="s">
        <v>459</v>
      </c>
      <c r="F246" t="s">
        <v>460</v>
      </c>
      <c r="G246" t="s">
        <v>35</v>
      </c>
      <c r="H246" t="s">
        <v>16</v>
      </c>
      <c r="I246" s="5">
        <v>0</v>
      </c>
      <c r="J246" s="5">
        <v>0</v>
      </c>
      <c r="K246" s="5">
        <v>5820</v>
      </c>
    </row>
    <row r="247" spans="1:11" x14ac:dyDescent="0.25">
      <c r="A247">
        <v>2022</v>
      </c>
      <c r="B247">
        <v>7</v>
      </c>
      <c r="C247" t="s">
        <v>461</v>
      </c>
      <c r="D247" t="s">
        <v>450</v>
      </c>
      <c r="E247" t="s">
        <v>462</v>
      </c>
      <c r="F247" t="s">
        <v>463</v>
      </c>
      <c r="G247" t="s">
        <v>26</v>
      </c>
      <c r="H247" t="s">
        <v>16</v>
      </c>
      <c r="I247" s="5">
        <v>38171.919999999998</v>
      </c>
      <c r="J247" s="5">
        <v>43746.46</v>
      </c>
      <c r="K247" s="5">
        <v>51950.98</v>
      </c>
    </row>
    <row r="248" spans="1:11" x14ac:dyDescent="0.25">
      <c r="A248">
        <v>2022</v>
      </c>
      <c r="B248">
        <v>7</v>
      </c>
      <c r="C248" t="s">
        <v>454</v>
      </c>
      <c r="D248" t="s">
        <v>450</v>
      </c>
      <c r="E248" t="s">
        <v>455</v>
      </c>
      <c r="F248" t="s">
        <v>456</v>
      </c>
      <c r="G248" t="s">
        <v>26</v>
      </c>
      <c r="H248" t="s">
        <v>16</v>
      </c>
      <c r="I248" s="5">
        <v>500</v>
      </c>
      <c r="J248" s="5">
        <v>1950</v>
      </c>
      <c r="K248" s="5">
        <v>1950</v>
      </c>
    </row>
    <row r="249" spans="1:11" x14ac:dyDescent="0.25">
      <c r="A249">
        <v>2022</v>
      </c>
      <c r="B249">
        <v>7</v>
      </c>
      <c r="C249" t="s">
        <v>457</v>
      </c>
      <c r="D249" t="s">
        <v>450</v>
      </c>
      <c r="E249" t="s">
        <v>455</v>
      </c>
      <c r="F249" t="s">
        <v>456</v>
      </c>
      <c r="G249" t="s">
        <v>26</v>
      </c>
      <c r="H249" t="s">
        <v>16</v>
      </c>
      <c r="I249" s="5">
        <v>1000</v>
      </c>
      <c r="J249" s="5">
        <v>9540</v>
      </c>
      <c r="K249" s="5">
        <v>9540</v>
      </c>
    </row>
    <row r="250" spans="1:11" x14ac:dyDescent="0.25">
      <c r="A250">
        <v>2022</v>
      </c>
      <c r="B250">
        <v>7</v>
      </c>
      <c r="C250" t="s">
        <v>308</v>
      </c>
      <c r="D250" t="s">
        <v>309</v>
      </c>
      <c r="E250" t="s">
        <v>13</v>
      </c>
      <c r="F250" t="s">
        <v>310</v>
      </c>
      <c r="G250" t="s">
        <v>15</v>
      </c>
      <c r="H250" t="s">
        <v>16</v>
      </c>
      <c r="I250" s="5">
        <v>1729234.54</v>
      </c>
      <c r="J250" s="5">
        <v>1729234.54</v>
      </c>
      <c r="K250" s="5">
        <v>1729234.54</v>
      </c>
    </row>
    <row r="251" spans="1:11" x14ac:dyDescent="0.25">
      <c r="A251">
        <v>2022</v>
      </c>
      <c r="B251">
        <v>7</v>
      </c>
      <c r="C251" t="s">
        <v>311</v>
      </c>
      <c r="D251" t="s">
        <v>309</v>
      </c>
      <c r="E251" t="s">
        <v>13</v>
      </c>
      <c r="F251" t="s">
        <v>310</v>
      </c>
      <c r="G251" t="s">
        <v>22</v>
      </c>
      <c r="H251" t="s">
        <v>16</v>
      </c>
      <c r="I251" s="5">
        <v>2000</v>
      </c>
      <c r="J251" s="5">
        <v>2000</v>
      </c>
      <c r="K251" s="5">
        <v>0</v>
      </c>
    </row>
    <row r="252" spans="1:11" x14ac:dyDescent="0.25">
      <c r="A252">
        <v>2022</v>
      </c>
      <c r="B252">
        <v>7</v>
      </c>
      <c r="C252" t="s">
        <v>315</v>
      </c>
      <c r="D252" t="s">
        <v>309</v>
      </c>
      <c r="E252" t="s">
        <v>13</v>
      </c>
      <c r="F252" t="s">
        <v>310</v>
      </c>
      <c r="G252" t="s">
        <v>26</v>
      </c>
      <c r="H252" t="s">
        <v>16</v>
      </c>
      <c r="I252" s="5">
        <v>484.2</v>
      </c>
      <c r="J252" s="5">
        <v>5983.38</v>
      </c>
      <c r="K252" s="5">
        <v>5483.38</v>
      </c>
    </row>
    <row r="253" spans="1:11" x14ac:dyDescent="0.25">
      <c r="A253">
        <v>2022</v>
      </c>
      <c r="B253">
        <v>7</v>
      </c>
      <c r="C253" t="s">
        <v>324</v>
      </c>
      <c r="D253" t="s">
        <v>309</v>
      </c>
      <c r="E253" t="s">
        <v>13</v>
      </c>
      <c r="F253" t="s">
        <v>310</v>
      </c>
      <c r="G253" t="s">
        <v>35</v>
      </c>
      <c r="H253" t="s">
        <v>16</v>
      </c>
      <c r="I253" s="5">
        <v>2000</v>
      </c>
      <c r="J253" s="5">
        <v>37507.5</v>
      </c>
      <c r="K253" s="5">
        <v>26950.75</v>
      </c>
    </row>
    <row r="254" spans="1:11" x14ac:dyDescent="0.25">
      <c r="A254">
        <v>2022</v>
      </c>
      <c r="B254">
        <v>7</v>
      </c>
      <c r="C254" t="s">
        <v>318</v>
      </c>
      <c r="D254" t="s">
        <v>309</v>
      </c>
      <c r="E254" t="s">
        <v>319</v>
      </c>
      <c r="F254" t="s">
        <v>320</v>
      </c>
      <c r="G254" t="s">
        <v>26</v>
      </c>
      <c r="H254" t="s">
        <v>16</v>
      </c>
      <c r="I254" s="5">
        <v>0</v>
      </c>
      <c r="J254" s="5">
        <v>7504250.0199999996</v>
      </c>
      <c r="K254" s="5">
        <v>7699332.5300000003</v>
      </c>
    </row>
    <row r="255" spans="1:11" x14ac:dyDescent="0.25">
      <c r="A255">
        <v>2022</v>
      </c>
      <c r="B255">
        <v>7</v>
      </c>
      <c r="C255" t="s">
        <v>312</v>
      </c>
      <c r="D255" t="s">
        <v>309</v>
      </c>
      <c r="E255" t="s">
        <v>64</v>
      </c>
      <c r="F255" t="s">
        <v>93</v>
      </c>
      <c r="G255" t="s">
        <v>22</v>
      </c>
      <c r="H255" t="s">
        <v>45</v>
      </c>
      <c r="I255" s="5">
        <v>50948.43</v>
      </c>
      <c r="J255" s="5">
        <v>0</v>
      </c>
      <c r="K255" s="5">
        <v>0</v>
      </c>
    </row>
    <row r="256" spans="1:11" x14ac:dyDescent="0.25">
      <c r="A256">
        <v>2022</v>
      </c>
      <c r="B256">
        <v>7</v>
      </c>
      <c r="C256" t="s">
        <v>316</v>
      </c>
      <c r="D256" t="s">
        <v>309</v>
      </c>
      <c r="E256" t="s">
        <v>64</v>
      </c>
      <c r="F256" t="s">
        <v>93</v>
      </c>
      <c r="G256" t="s">
        <v>26</v>
      </c>
      <c r="H256" t="s">
        <v>45</v>
      </c>
      <c r="I256" s="5">
        <v>63302.94</v>
      </c>
      <c r="J256" s="5">
        <v>1142482.3600000001</v>
      </c>
      <c r="K256" s="5">
        <v>419958.24</v>
      </c>
    </row>
    <row r="257" spans="1:11" x14ac:dyDescent="0.25">
      <c r="A257">
        <v>2022</v>
      </c>
      <c r="B257">
        <v>7</v>
      </c>
      <c r="C257" t="s">
        <v>323</v>
      </c>
      <c r="D257" t="s">
        <v>309</v>
      </c>
      <c r="E257" t="s">
        <v>64</v>
      </c>
      <c r="F257" t="s">
        <v>93</v>
      </c>
      <c r="G257" t="s">
        <v>104</v>
      </c>
      <c r="H257" t="s">
        <v>45</v>
      </c>
      <c r="I257" s="5">
        <v>0</v>
      </c>
      <c r="J257" s="5">
        <v>71480.89</v>
      </c>
      <c r="K257" s="5">
        <v>193744.21</v>
      </c>
    </row>
    <row r="258" spans="1:11" x14ac:dyDescent="0.25">
      <c r="A258">
        <v>2022</v>
      </c>
      <c r="B258">
        <v>7</v>
      </c>
      <c r="C258" t="s">
        <v>325</v>
      </c>
      <c r="D258" t="s">
        <v>309</v>
      </c>
      <c r="E258" t="s">
        <v>64</v>
      </c>
      <c r="F258" t="s">
        <v>93</v>
      </c>
      <c r="G258" t="s">
        <v>35</v>
      </c>
      <c r="H258" t="s">
        <v>45</v>
      </c>
      <c r="I258" s="5">
        <v>0</v>
      </c>
      <c r="J258" s="5">
        <v>10320</v>
      </c>
      <c r="K258" s="5">
        <v>10320</v>
      </c>
    </row>
    <row r="259" spans="1:11" x14ac:dyDescent="0.25">
      <c r="A259">
        <v>2022</v>
      </c>
      <c r="B259">
        <v>7</v>
      </c>
      <c r="C259" t="s">
        <v>313</v>
      </c>
      <c r="D259" t="s">
        <v>309</v>
      </c>
      <c r="E259" t="s">
        <v>64</v>
      </c>
      <c r="F259" t="s">
        <v>310</v>
      </c>
      <c r="G259" t="s">
        <v>22</v>
      </c>
      <c r="H259" t="s">
        <v>16</v>
      </c>
      <c r="I259" s="5">
        <v>-128616.4</v>
      </c>
      <c r="J259" s="5">
        <v>714060.4</v>
      </c>
      <c r="K259" s="5">
        <v>1486966.35</v>
      </c>
    </row>
    <row r="260" spans="1:11" x14ac:dyDescent="0.25">
      <c r="A260">
        <v>2022</v>
      </c>
      <c r="B260">
        <v>7</v>
      </c>
      <c r="C260" t="s">
        <v>314</v>
      </c>
      <c r="D260" t="s">
        <v>309</v>
      </c>
      <c r="E260" t="s">
        <v>64</v>
      </c>
      <c r="F260" t="s">
        <v>310</v>
      </c>
      <c r="G260" t="s">
        <v>24</v>
      </c>
      <c r="H260" t="s">
        <v>16</v>
      </c>
      <c r="I260" s="5">
        <v>9126.92</v>
      </c>
      <c r="J260" s="5">
        <v>9126.92</v>
      </c>
      <c r="K260" s="5">
        <v>9126.92</v>
      </c>
    </row>
    <row r="261" spans="1:11" x14ac:dyDescent="0.25">
      <c r="A261">
        <v>2022</v>
      </c>
      <c r="B261">
        <v>7</v>
      </c>
      <c r="C261" t="s">
        <v>317</v>
      </c>
      <c r="D261" t="s">
        <v>309</v>
      </c>
      <c r="E261" t="s">
        <v>64</v>
      </c>
      <c r="F261" t="s">
        <v>310</v>
      </c>
      <c r="G261" t="s">
        <v>26</v>
      </c>
      <c r="H261" t="s">
        <v>16</v>
      </c>
      <c r="I261" s="5">
        <v>4817388.87</v>
      </c>
      <c r="J261" s="5">
        <v>8005202.9900000002</v>
      </c>
      <c r="K261" s="5">
        <v>7829342.3200000003</v>
      </c>
    </row>
    <row r="262" spans="1:11" x14ac:dyDescent="0.25">
      <c r="A262">
        <v>2022</v>
      </c>
      <c r="B262">
        <v>7</v>
      </c>
      <c r="C262" t="s">
        <v>321</v>
      </c>
      <c r="D262" t="s">
        <v>309</v>
      </c>
      <c r="E262" t="s">
        <v>64</v>
      </c>
      <c r="F262" t="s">
        <v>310</v>
      </c>
      <c r="G262" t="s">
        <v>52</v>
      </c>
      <c r="H262" t="s">
        <v>16</v>
      </c>
      <c r="I262" s="5">
        <v>61.42</v>
      </c>
      <c r="J262" s="5">
        <v>61.42</v>
      </c>
      <c r="K262" s="5">
        <v>61.42</v>
      </c>
    </row>
    <row r="263" spans="1:11" x14ac:dyDescent="0.25">
      <c r="A263">
        <v>2022</v>
      </c>
      <c r="B263">
        <v>7</v>
      </c>
      <c r="C263" t="s">
        <v>322</v>
      </c>
      <c r="D263" t="s">
        <v>309</v>
      </c>
      <c r="E263" t="s">
        <v>64</v>
      </c>
      <c r="F263" t="s">
        <v>310</v>
      </c>
      <c r="G263" t="s">
        <v>197</v>
      </c>
      <c r="H263" t="s">
        <v>16</v>
      </c>
      <c r="I263" s="5">
        <v>10674.14</v>
      </c>
      <c r="J263" s="5">
        <v>10674.14</v>
      </c>
      <c r="K263" s="5">
        <v>7889.64</v>
      </c>
    </row>
    <row r="264" spans="1:11" x14ac:dyDescent="0.25">
      <c r="A264">
        <v>2022</v>
      </c>
      <c r="B264">
        <v>7</v>
      </c>
      <c r="C264" t="s">
        <v>423</v>
      </c>
      <c r="D264" t="s">
        <v>424</v>
      </c>
      <c r="E264" t="s">
        <v>100</v>
      </c>
      <c r="F264" t="s">
        <v>14</v>
      </c>
      <c r="G264" t="s">
        <v>15</v>
      </c>
      <c r="H264" t="s">
        <v>16</v>
      </c>
      <c r="I264" s="5">
        <v>680544.99</v>
      </c>
      <c r="J264" s="5">
        <v>680544.99</v>
      </c>
      <c r="K264" s="5">
        <v>680544.99</v>
      </c>
    </row>
    <row r="265" spans="1:11" x14ac:dyDescent="0.25">
      <c r="A265">
        <v>2022</v>
      </c>
      <c r="B265">
        <v>7</v>
      </c>
      <c r="C265" t="s">
        <v>425</v>
      </c>
      <c r="D265" t="s">
        <v>424</v>
      </c>
      <c r="E265" t="s">
        <v>100</v>
      </c>
      <c r="F265" t="s">
        <v>14</v>
      </c>
      <c r="G265" t="s">
        <v>22</v>
      </c>
      <c r="H265" t="s">
        <v>16</v>
      </c>
      <c r="I265" s="5">
        <v>3891.72</v>
      </c>
      <c r="J265" s="5">
        <v>2143.27</v>
      </c>
      <c r="K265" s="5">
        <v>3705.21</v>
      </c>
    </row>
    <row r="266" spans="1:11" x14ac:dyDescent="0.25">
      <c r="A266">
        <v>2022</v>
      </c>
      <c r="B266">
        <v>7</v>
      </c>
      <c r="C266" t="s">
        <v>426</v>
      </c>
      <c r="D266" t="s">
        <v>424</v>
      </c>
      <c r="E266" t="s">
        <v>100</v>
      </c>
      <c r="F266" t="s">
        <v>14</v>
      </c>
      <c r="G266" t="s">
        <v>24</v>
      </c>
      <c r="H266" t="s">
        <v>16</v>
      </c>
      <c r="I266" s="5">
        <v>0</v>
      </c>
      <c r="J266" s="5">
        <v>24254.35</v>
      </c>
      <c r="K266" s="5">
        <v>31451.39</v>
      </c>
    </row>
    <row r="267" spans="1:11" x14ac:dyDescent="0.25">
      <c r="A267">
        <v>2022</v>
      </c>
      <c r="B267">
        <v>7</v>
      </c>
      <c r="C267" t="s">
        <v>427</v>
      </c>
      <c r="D267" t="s">
        <v>424</v>
      </c>
      <c r="E267" t="s">
        <v>100</v>
      </c>
      <c r="F267" t="s">
        <v>14</v>
      </c>
      <c r="G267" t="s">
        <v>26</v>
      </c>
      <c r="H267" t="s">
        <v>16</v>
      </c>
      <c r="I267" s="5">
        <v>2513.42</v>
      </c>
      <c r="J267" s="5">
        <v>547271.25</v>
      </c>
      <c r="K267" s="5">
        <v>1040562.68</v>
      </c>
    </row>
    <row r="268" spans="1:11" x14ac:dyDescent="0.25">
      <c r="A268">
        <v>2022</v>
      </c>
      <c r="B268">
        <v>7</v>
      </c>
      <c r="C268" t="s">
        <v>430</v>
      </c>
      <c r="D268" t="s">
        <v>424</v>
      </c>
      <c r="E268" t="s">
        <v>100</v>
      </c>
      <c r="F268" t="s">
        <v>14</v>
      </c>
      <c r="G268" t="s">
        <v>197</v>
      </c>
      <c r="H268" t="s">
        <v>16</v>
      </c>
      <c r="I268" s="5">
        <v>4930261.1100000003</v>
      </c>
      <c r="J268" s="5">
        <v>4930261.1100000003</v>
      </c>
      <c r="K268" s="5">
        <v>4930261.1100000003</v>
      </c>
    </row>
    <row r="269" spans="1:11" x14ac:dyDescent="0.25">
      <c r="A269">
        <v>2022</v>
      </c>
      <c r="B269">
        <v>7</v>
      </c>
      <c r="C269" t="s">
        <v>437</v>
      </c>
      <c r="D269" t="s">
        <v>424</v>
      </c>
      <c r="E269" t="s">
        <v>100</v>
      </c>
      <c r="F269" t="s">
        <v>14</v>
      </c>
      <c r="G269" t="s">
        <v>438</v>
      </c>
      <c r="H269" t="s">
        <v>45</v>
      </c>
      <c r="I269" s="5">
        <v>720000</v>
      </c>
      <c r="J269" s="5">
        <v>139241.67000000001</v>
      </c>
      <c r="K269" s="5">
        <v>0</v>
      </c>
    </row>
    <row r="270" spans="1:11" x14ac:dyDescent="0.25">
      <c r="A270">
        <v>2022</v>
      </c>
      <c r="B270">
        <v>7</v>
      </c>
      <c r="C270" t="s">
        <v>439</v>
      </c>
      <c r="D270" t="s">
        <v>424</v>
      </c>
      <c r="E270" t="s">
        <v>100</v>
      </c>
      <c r="F270" t="s">
        <v>14</v>
      </c>
      <c r="G270" t="s">
        <v>22</v>
      </c>
      <c r="H270" t="s">
        <v>45</v>
      </c>
      <c r="I270" s="5">
        <v>1108</v>
      </c>
      <c r="J270" s="5">
        <v>0</v>
      </c>
      <c r="K270" s="5">
        <v>41891.699999999997</v>
      </c>
    </row>
    <row r="271" spans="1:11" x14ac:dyDescent="0.25">
      <c r="A271">
        <v>2022</v>
      </c>
      <c r="B271">
        <v>7</v>
      </c>
      <c r="C271" t="s">
        <v>440</v>
      </c>
      <c r="D271" t="s">
        <v>424</v>
      </c>
      <c r="E271" t="s">
        <v>100</v>
      </c>
      <c r="F271" t="s">
        <v>14</v>
      </c>
      <c r="G271" t="s">
        <v>26</v>
      </c>
      <c r="H271" t="s">
        <v>16</v>
      </c>
      <c r="I271" s="5">
        <v>0</v>
      </c>
      <c r="J271" s="5">
        <v>9712.27</v>
      </c>
      <c r="K271" s="5">
        <v>180851.95</v>
      </c>
    </row>
    <row r="272" spans="1:11" x14ac:dyDescent="0.25">
      <c r="A272">
        <v>2022</v>
      </c>
      <c r="B272">
        <v>7</v>
      </c>
      <c r="C272" t="s">
        <v>441</v>
      </c>
      <c r="D272" t="s">
        <v>424</v>
      </c>
      <c r="E272" t="s">
        <v>100</v>
      </c>
      <c r="F272" t="s">
        <v>14</v>
      </c>
      <c r="G272" t="s">
        <v>26</v>
      </c>
      <c r="H272" t="s">
        <v>45</v>
      </c>
      <c r="I272" s="5">
        <v>0</v>
      </c>
      <c r="J272" s="5">
        <v>3830168.35</v>
      </c>
      <c r="K272" s="5">
        <v>2557285.7999999998</v>
      </c>
    </row>
    <row r="273" spans="1:11" x14ac:dyDescent="0.25">
      <c r="A273">
        <v>2022</v>
      </c>
      <c r="B273">
        <v>7</v>
      </c>
      <c r="C273" t="s">
        <v>442</v>
      </c>
      <c r="D273" t="s">
        <v>424</v>
      </c>
      <c r="E273" t="s">
        <v>100</v>
      </c>
      <c r="F273" t="s">
        <v>14</v>
      </c>
      <c r="G273" t="s">
        <v>26</v>
      </c>
      <c r="H273" t="s">
        <v>45</v>
      </c>
      <c r="I273" s="5">
        <v>0</v>
      </c>
      <c r="J273" s="5">
        <v>77313.119999999995</v>
      </c>
      <c r="K273" s="5">
        <v>77313.119999999995</v>
      </c>
    </row>
    <row r="274" spans="1:11" x14ac:dyDescent="0.25">
      <c r="A274">
        <v>2022</v>
      </c>
      <c r="B274">
        <v>7</v>
      </c>
      <c r="C274" t="s">
        <v>443</v>
      </c>
      <c r="D274" t="s">
        <v>424</v>
      </c>
      <c r="E274" t="s">
        <v>100</v>
      </c>
      <c r="F274" t="s">
        <v>14</v>
      </c>
      <c r="G274" t="s">
        <v>26</v>
      </c>
      <c r="H274" t="s">
        <v>45</v>
      </c>
      <c r="I274" s="5">
        <v>-395000</v>
      </c>
      <c r="J274" s="5">
        <v>15200</v>
      </c>
      <c r="K274" s="5">
        <v>189</v>
      </c>
    </row>
    <row r="275" spans="1:11" x14ac:dyDescent="0.25">
      <c r="A275">
        <v>2022</v>
      </c>
      <c r="B275">
        <v>7</v>
      </c>
      <c r="C275" t="s">
        <v>444</v>
      </c>
      <c r="D275" t="s">
        <v>424</v>
      </c>
      <c r="E275" t="s">
        <v>100</v>
      </c>
      <c r="F275" t="s">
        <v>14</v>
      </c>
      <c r="G275" t="s">
        <v>26</v>
      </c>
      <c r="H275" t="s">
        <v>45</v>
      </c>
      <c r="I275" s="5">
        <v>0</v>
      </c>
      <c r="J275" s="5">
        <v>0</v>
      </c>
      <c r="K275" s="5">
        <v>664.55</v>
      </c>
    </row>
    <row r="276" spans="1:11" x14ac:dyDescent="0.25">
      <c r="A276">
        <v>2022</v>
      </c>
      <c r="B276">
        <v>7</v>
      </c>
      <c r="C276" t="s">
        <v>445</v>
      </c>
      <c r="D276" t="s">
        <v>424</v>
      </c>
      <c r="E276" t="s">
        <v>100</v>
      </c>
      <c r="F276" t="s">
        <v>14</v>
      </c>
      <c r="G276" t="s">
        <v>26</v>
      </c>
      <c r="H276" t="s">
        <v>70</v>
      </c>
      <c r="I276" s="5">
        <v>3343.56</v>
      </c>
      <c r="J276" s="5">
        <v>296494.21999999997</v>
      </c>
      <c r="K276" s="5">
        <v>2744.2</v>
      </c>
    </row>
    <row r="277" spans="1:11" x14ac:dyDescent="0.25">
      <c r="A277">
        <v>2022</v>
      </c>
      <c r="B277">
        <v>7</v>
      </c>
      <c r="C277" t="s">
        <v>446</v>
      </c>
      <c r="D277" t="s">
        <v>424</v>
      </c>
      <c r="E277" t="s">
        <v>100</v>
      </c>
      <c r="F277" t="s">
        <v>14</v>
      </c>
      <c r="G277" t="s">
        <v>197</v>
      </c>
      <c r="H277" t="s">
        <v>45</v>
      </c>
      <c r="I277" s="5">
        <v>490.93</v>
      </c>
      <c r="J277" s="5">
        <v>490.93</v>
      </c>
      <c r="K277" s="5">
        <v>628.95000000000005</v>
      </c>
    </row>
    <row r="278" spans="1:11" x14ac:dyDescent="0.25">
      <c r="A278">
        <v>2022</v>
      </c>
      <c r="B278">
        <v>7</v>
      </c>
      <c r="C278" t="s">
        <v>447</v>
      </c>
      <c r="D278" t="s">
        <v>424</v>
      </c>
      <c r="E278" t="s">
        <v>100</v>
      </c>
      <c r="F278" t="s">
        <v>14</v>
      </c>
      <c r="G278" t="s">
        <v>104</v>
      </c>
      <c r="H278" t="s">
        <v>45</v>
      </c>
      <c r="I278" s="5">
        <v>0</v>
      </c>
      <c r="J278" s="5">
        <v>0</v>
      </c>
      <c r="K278" s="5">
        <v>82322.600000000006</v>
      </c>
    </row>
    <row r="279" spans="1:11" x14ac:dyDescent="0.25">
      <c r="A279">
        <v>2022</v>
      </c>
      <c r="B279">
        <v>7</v>
      </c>
      <c r="C279" t="s">
        <v>448</v>
      </c>
      <c r="D279" t="s">
        <v>424</v>
      </c>
      <c r="E279" t="s">
        <v>100</v>
      </c>
      <c r="F279" t="s">
        <v>14</v>
      </c>
      <c r="G279" t="s">
        <v>104</v>
      </c>
      <c r="H279" t="s">
        <v>45</v>
      </c>
      <c r="I279" s="5">
        <v>0</v>
      </c>
      <c r="J279" s="5">
        <v>46051.17</v>
      </c>
      <c r="K279" s="5">
        <v>46051.17</v>
      </c>
    </row>
    <row r="280" spans="1:11" x14ac:dyDescent="0.25">
      <c r="A280">
        <v>2022</v>
      </c>
      <c r="B280">
        <v>7</v>
      </c>
      <c r="C280" t="s">
        <v>428</v>
      </c>
      <c r="D280" t="s">
        <v>424</v>
      </c>
      <c r="E280" t="s">
        <v>100</v>
      </c>
      <c r="F280" t="s">
        <v>93</v>
      </c>
      <c r="G280" t="s">
        <v>26</v>
      </c>
      <c r="H280" t="s">
        <v>16</v>
      </c>
      <c r="I280" s="5">
        <v>-196012.27</v>
      </c>
      <c r="J280" s="5">
        <v>1050645.52</v>
      </c>
      <c r="K280" s="5">
        <v>1222302.24</v>
      </c>
    </row>
    <row r="281" spans="1:11" x14ac:dyDescent="0.25">
      <c r="A281">
        <v>2022</v>
      </c>
      <c r="B281">
        <v>7</v>
      </c>
      <c r="C281" t="s">
        <v>429</v>
      </c>
      <c r="D281" t="s">
        <v>424</v>
      </c>
      <c r="E281" t="s">
        <v>100</v>
      </c>
      <c r="F281" t="s">
        <v>93</v>
      </c>
      <c r="G281" t="s">
        <v>26</v>
      </c>
      <c r="H281" t="s">
        <v>70</v>
      </c>
      <c r="I281" s="5">
        <v>0</v>
      </c>
      <c r="J281" s="5">
        <v>0</v>
      </c>
      <c r="K281" s="5">
        <v>745596</v>
      </c>
    </row>
    <row r="282" spans="1:11" x14ac:dyDescent="0.25">
      <c r="A282">
        <v>2022</v>
      </c>
      <c r="B282">
        <v>7</v>
      </c>
      <c r="C282" t="s">
        <v>431</v>
      </c>
      <c r="D282" t="s">
        <v>424</v>
      </c>
      <c r="E282" t="s">
        <v>100</v>
      </c>
      <c r="F282" t="s">
        <v>93</v>
      </c>
      <c r="G282" t="s">
        <v>104</v>
      </c>
      <c r="H282" t="s">
        <v>16</v>
      </c>
      <c r="I282" s="5">
        <v>-228434.18</v>
      </c>
      <c r="J282" s="5">
        <v>0</v>
      </c>
      <c r="K282" s="5">
        <v>332225.09999999998</v>
      </c>
    </row>
    <row r="283" spans="1:11" x14ac:dyDescent="0.25">
      <c r="A283">
        <v>2022</v>
      </c>
      <c r="B283">
        <v>7</v>
      </c>
      <c r="C283" t="s">
        <v>432</v>
      </c>
      <c r="D283" t="s">
        <v>424</v>
      </c>
      <c r="E283" t="s">
        <v>100</v>
      </c>
      <c r="F283" t="s">
        <v>93</v>
      </c>
      <c r="G283" t="s">
        <v>104</v>
      </c>
      <c r="H283" t="s">
        <v>81</v>
      </c>
      <c r="I283" s="5">
        <v>0</v>
      </c>
      <c r="J283" s="5">
        <v>0</v>
      </c>
      <c r="K283" s="5">
        <v>34428.18</v>
      </c>
    </row>
    <row r="284" spans="1:11" x14ac:dyDescent="0.25">
      <c r="A284">
        <v>2022</v>
      </c>
      <c r="B284">
        <v>7</v>
      </c>
      <c r="C284" t="s">
        <v>433</v>
      </c>
      <c r="D284" t="s">
        <v>424</v>
      </c>
      <c r="E284" t="s">
        <v>100</v>
      </c>
      <c r="F284" t="s">
        <v>93</v>
      </c>
      <c r="G284" t="s">
        <v>104</v>
      </c>
      <c r="H284" t="s">
        <v>350</v>
      </c>
      <c r="I284" s="5">
        <v>0</v>
      </c>
      <c r="J284" s="5">
        <v>58551.11</v>
      </c>
      <c r="K284" s="5">
        <v>0</v>
      </c>
    </row>
    <row r="285" spans="1:11" x14ac:dyDescent="0.25">
      <c r="A285">
        <v>2022</v>
      </c>
      <c r="B285">
        <v>7</v>
      </c>
      <c r="C285" t="s">
        <v>434</v>
      </c>
      <c r="D285" t="s">
        <v>424</v>
      </c>
      <c r="E285" t="s">
        <v>100</v>
      </c>
      <c r="F285" t="s">
        <v>93</v>
      </c>
      <c r="G285" t="s">
        <v>435</v>
      </c>
      <c r="H285" t="s">
        <v>16</v>
      </c>
      <c r="I285" s="5">
        <v>1814279</v>
      </c>
      <c r="J285" s="5">
        <v>0</v>
      </c>
      <c r="K285" s="5">
        <v>0</v>
      </c>
    </row>
    <row r="286" spans="1:11" x14ac:dyDescent="0.25">
      <c r="A286">
        <v>2022</v>
      </c>
      <c r="B286">
        <v>7</v>
      </c>
      <c r="C286" t="s">
        <v>436</v>
      </c>
      <c r="D286" t="s">
        <v>424</v>
      </c>
      <c r="E286" t="s">
        <v>100</v>
      </c>
      <c r="F286" t="s">
        <v>93</v>
      </c>
      <c r="G286" t="s">
        <v>52</v>
      </c>
      <c r="H286" t="s">
        <v>16</v>
      </c>
      <c r="I286" s="5">
        <v>0</v>
      </c>
      <c r="J286" s="5">
        <v>2338816.19</v>
      </c>
      <c r="K286" s="5">
        <v>2338816.19</v>
      </c>
    </row>
    <row r="287" spans="1:11" x14ac:dyDescent="0.25">
      <c r="A287">
        <v>2022</v>
      </c>
      <c r="B287">
        <v>7</v>
      </c>
      <c r="C287" t="s">
        <v>465</v>
      </c>
      <c r="D287" t="s">
        <v>466</v>
      </c>
      <c r="E287" t="s">
        <v>467</v>
      </c>
      <c r="F287" t="s">
        <v>468</v>
      </c>
      <c r="G287" t="s">
        <v>15</v>
      </c>
      <c r="H287" t="s">
        <v>16</v>
      </c>
      <c r="I287" s="5">
        <v>2970893.48</v>
      </c>
      <c r="J287" s="5">
        <v>2970893.48</v>
      </c>
      <c r="K287" s="5">
        <v>2970893.48</v>
      </c>
    </row>
    <row r="288" spans="1:11" x14ac:dyDescent="0.25">
      <c r="A288">
        <v>2022</v>
      </c>
      <c r="B288">
        <v>7</v>
      </c>
      <c r="C288" t="s">
        <v>469</v>
      </c>
      <c r="D288" t="s">
        <v>466</v>
      </c>
      <c r="E288" t="s">
        <v>467</v>
      </c>
      <c r="F288" t="s">
        <v>468</v>
      </c>
      <c r="G288" t="s">
        <v>15</v>
      </c>
      <c r="H288" t="s">
        <v>350</v>
      </c>
      <c r="I288" s="5">
        <v>11760</v>
      </c>
      <c r="J288" s="5">
        <v>11760</v>
      </c>
      <c r="K288" s="5">
        <v>11760</v>
      </c>
    </row>
    <row r="289" spans="1:11" x14ac:dyDescent="0.25">
      <c r="A289">
        <v>2022</v>
      </c>
      <c r="B289">
        <v>7</v>
      </c>
      <c r="C289" t="s">
        <v>470</v>
      </c>
      <c r="D289" t="s">
        <v>466</v>
      </c>
      <c r="E289" t="s">
        <v>467</v>
      </c>
      <c r="F289" t="s">
        <v>468</v>
      </c>
      <c r="G289" t="s">
        <v>334</v>
      </c>
      <c r="H289" t="s">
        <v>16</v>
      </c>
      <c r="I289" s="5">
        <v>143158.91</v>
      </c>
      <c r="J289" s="5">
        <v>143158.91</v>
      </c>
      <c r="K289" s="5">
        <v>143158.91</v>
      </c>
    </row>
    <row r="290" spans="1:11" x14ac:dyDescent="0.25">
      <c r="A290">
        <v>2022</v>
      </c>
      <c r="B290">
        <v>7</v>
      </c>
      <c r="C290" t="s">
        <v>471</v>
      </c>
      <c r="D290" t="s">
        <v>466</v>
      </c>
      <c r="E290" t="s">
        <v>467</v>
      </c>
      <c r="F290" t="s">
        <v>468</v>
      </c>
      <c r="G290" t="s">
        <v>143</v>
      </c>
      <c r="H290" t="s">
        <v>16</v>
      </c>
      <c r="I290" s="5">
        <v>2800</v>
      </c>
      <c r="J290" s="5">
        <v>2800</v>
      </c>
      <c r="K290" s="5">
        <v>2800</v>
      </c>
    </row>
    <row r="291" spans="1:11" x14ac:dyDescent="0.25">
      <c r="A291">
        <v>2022</v>
      </c>
      <c r="B291">
        <v>7</v>
      </c>
      <c r="C291" t="s">
        <v>472</v>
      </c>
      <c r="D291" t="s">
        <v>466</v>
      </c>
      <c r="E291" t="s">
        <v>467</v>
      </c>
      <c r="F291" t="s">
        <v>468</v>
      </c>
      <c r="G291" t="s">
        <v>22</v>
      </c>
      <c r="H291" t="s">
        <v>16</v>
      </c>
      <c r="I291" s="5">
        <v>3977.61</v>
      </c>
      <c r="J291" s="5">
        <v>3977.61</v>
      </c>
      <c r="K291" s="5">
        <v>2977.61</v>
      </c>
    </row>
    <row r="292" spans="1:11" x14ac:dyDescent="0.25">
      <c r="A292">
        <v>2022</v>
      </c>
      <c r="B292">
        <v>7</v>
      </c>
      <c r="C292" t="s">
        <v>473</v>
      </c>
      <c r="D292" t="s">
        <v>466</v>
      </c>
      <c r="E292" t="s">
        <v>467</v>
      </c>
      <c r="F292" t="s">
        <v>468</v>
      </c>
      <c r="G292" t="s">
        <v>22</v>
      </c>
      <c r="H292" t="s">
        <v>16</v>
      </c>
      <c r="I292" s="5">
        <v>34979.29</v>
      </c>
      <c r="J292" s="5">
        <v>235163.86</v>
      </c>
      <c r="K292" s="5">
        <v>343098.95</v>
      </c>
    </row>
    <row r="293" spans="1:11" x14ac:dyDescent="0.25">
      <c r="A293">
        <v>2022</v>
      </c>
      <c r="B293">
        <v>7</v>
      </c>
      <c r="C293" t="s">
        <v>474</v>
      </c>
      <c r="D293" t="s">
        <v>466</v>
      </c>
      <c r="E293" t="s">
        <v>467</v>
      </c>
      <c r="F293" t="s">
        <v>468</v>
      </c>
      <c r="G293" t="s">
        <v>22</v>
      </c>
      <c r="H293" t="s">
        <v>163</v>
      </c>
      <c r="I293" s="5">
        <v>129240.64</v>
      </c>
      <c r="J293" s="5">
        <v>0</v>
      </c>
      <c r="K293" s="5">
        <v>0</v>
      </c>
    </row>
    <row r="294" spans="1:11" x14ac:dyDescent="0.25">
      <c r="A294">
        <v>2022</v>
      </c>
      <c r="B294">
        <v>7</v>
      </c>
      <c r="C294" t="s">
        <v>475</v>
      </c>
      <c r="D294" t="s">
        <v>466</v>
      </c>
      <c r="E294" t="s">
        <v>467</v>
      </c>
      <c r="F294" t="s">
        <v>468</v>
      </c>
      <c r="G294" t="s">
        <v>24</v>
      </c>
      <c r="H294" t="s">
        <v>16</v>
      </c>
      <c r="I294" s="5">
        <v>0</v>
      </c>
      <c r="J294" s="5">
        <v>4502.76</v>
      </c>
      <c r="K294" s="5">
        <v>4502.76</v>
      </c>
    </row>
    <row r="295" spans="1:11" x14ac:dyDescent="0.25">
      <c r="A295">
        <v>2022</v>
      </c>
      <c r="B295">
        <v>7</v>
      </c>
      <c r="C295" t="s">
        <v>476</v>
      </c>
      <c r="D295" t="s">
        <v>466</v>
      </c>
      <c r="E295" t="s">
        <v>467</v>
      </c>
      <c r="F295" t="s">
        <v>468</v>
      </c>
      <c r="G295" t="s">
        <v>24</v>
      </c>
      <c r="H295" t="s">
        <v>16</v>
      </c>
      <c r="I295" s="5">
        <v>0</v>
      </c>
      <c r="J295" s="5">
        <v>4400</v>
      </c>
      <c r="K295" s="5">
        <v>4400</v>
      </c>
    </row>
    <row r="296" spans="1:11" x14ac:dyDescent="0.25">
      <c r="A296">
        <v>2022</v>
      </c>
      <c r="B296">
        <v>7</v>
      </c>
      <c r="C296" t="s">
        <v>477</v>
      </c>
      <c r="D296" t="s">
        <v>466</v>
      </c>
      <c r="E296" t="s">
        <v>467</v>
      </c>
      <c r="F296" t="s">
        <v>468</v>
      </c>
      <c r="G296" t="s">
        <v>26</v>
      </c>
      <c r="H296" t="s">
        <v>16</v>
      </c>
      <c r="I296" s="5">
        <v>3995.5</v>
      </c>
      <c r="J296" s="5">
        <v>3995.5</v>
      </c>
      <c r="K296" s="5">
        <v>2995.5</v>
      </c>
    </row>
    <row r="297" spans="1:11" x14ac:dyDescent="0.25">
      <c r="A297">
        <v>2022</v>
      </c>
      <c r="B297">
        <v>7</v>
      </c>
      <c r="C297" t="s">
        <v>478</v>
      </c>
      <c r="D297" t="s">
        <v>466</v>
      </c>
      <c r="E297" t="s">
        <v>467</v>
      </c>
      <c r="F297" t="s">
        <v>468</v>
      </c>
      <c r="G297" t="s">
        <v>26</v>
      </c>
      <c r="H297" t="s">
        <v>16</v>
      </c>
      <c r="I297" s="5">
        <v>368852.62</v>
      </c>
      <c r="J297" s="5">
        <v>413251.33</v>
      </c>
      <c r="K297" s="5">
        <v>562362.63</v>
      </c>
    </row>
    <row r="298" spans="1:11" x14ac:dyDescent="0.25">
      <c r="A298">
        <v>2022</v>
      </c>
      <c r="B298">
        <v>7</v>
      </c>
      <c r="C298" t="s">
        <v>479</v>
      </c>
      <c r="D298" t="s">
        <v>466</v>
      </c>
      <c r="E298" t="s">
        <v>467</v>
      </c>
      <c r="F298" t="s">
        <v>468</v>
      </c>
      <c r="G298" t="s">
        <v>35</v>
      </c>
      <c r="H298" t="s">
        <v>16</v>
      </c>
      <c r="I298" s="5">
        <v>2580</v>
      </c>
      <c r="J298" s="5">
        <v>44906</v>
      </c>
      <c r="K298" s="5">
        <v>1940</v>
      </c>
    </row>
    <row r="299" spans="1:11" x14ac:dyDescent="0.25">
      <c r="A299">
        <v>2022</v>
      </c>
      <c r="B299">
        <v>7</v>
      </c>
      <c r="C299" t="s">
        <v>366</v>
      </c>
      <c r="D299" t="s">
        <v>327</v>
      </c>
      <c r="E299" t="s">
        <v>13</v>
      </c>
      <c r="F299" t="s">
        <v>367</v>
      </c>
      <c r="G299" t="s">
        <v>22</v>
      </c>
      <c r="H299" t="s">
        <v>16</v>
      </c>
      <c r="I299" s="5">
        <v>18087.259999999998</v>
      </c>
      <c r="J299" s="5">
        <v>19707.2</v>
      </c>
      <c r="K299" s="5">
        <v>3447.3</v>
      </c>
    </row>
    <row r="300" spans="1:11" x14ac:dyDescent="0.25">
      <c r="A300">
        <v>2022</v>
      </c>
      <c r="B300">
        <v>7</v>
      </c>
      <c r="C300" t="s">
        <v>391</v>
      </c>
      <c r="D300" t="s">
        <v>327</v>
      </c>
      <c r="E300" t="s">
        <v>13</v>
      </c>
      <c r="F300" t="s">
        <v>367</v>
      </c>
      <c r="G300" t="s">
        <v>26</v>
      </c>
      <c r="H300" t="s">
        <v>16</v>
      </c>
      <c r="I300" s="5">
        <v>-55679.49</v>
      </c>
      <c r="J300" s="5">
        <v>177289.05</v>
      </c>
      <c r="K300" s="5">
        <v>254446.37</v>
      </c>
    </row>
    <row r="301" spans="1:11" x14ac:dyDescent="0.25">
      <c r="A301">
        <v>2022</v>
      </c>
      <c r="B301">
        <v>7</v>
      </c>
      <c r="C301" t="s">
        <v>392</v>
      </c>
      <c r="D301" t="s">
        <v>327</v>
      </c>
      <c r="E301" t="s">
        <v>13</v>
      </c>
      <c r="F301" t="s">
        <v>367</v>
      </c>
      <c r="G301" t="s">
        <v>26</v>
      </c>
      <c r="H301" t="s">
        <v>16</v>
      </c>
      <c r="I301" s="5">
        <v>0</v>
      </c>
      <c r="J301" s="5">
        <v>37351.1</v>
      </c>
      <c r="K301" s="5">
        <v>37351.1</v>
      </c>
    </row>
    <row r="302" spans="1:11" x14ac:dyDescent="0.25">
      <c r="A302">
        <v>2022</v>
      </c>
      <c r="B302">
        <v>7</v>
      </c>
      <c r="C302" t="s">
        <v>405</v>
      </c>
      <c r="D302" t="s">
        <v>327</v>
      </c>
      <c r="E302" t="s">
        <v>13</v>
      </c>
      <c r="F302" t="s">
        <v>367</v>
      </c>
      <c r="G302" t="s">
        <v>35</v>
      </c>
      <c r="H302" t="s">
        <v>16</v>
      </c>
      <c r="I302" s="5">
        <v>0</v>
      </c>
      <c r="J302" s="5">
        <v>16240</v>
      </c>
      <c r="K302" s="5">
        <v>12000</v>
      </c>
    </row>
    <row r="303" spans="1:11" x14ac:dyDescent="0.25">
      <c r="A303">
        <v>2022</v>
      </c>
      <c r="B303">
        <v>7</v>
      </c>
      <c r="C303" t="s">
        <v>349</v>
      </c>
      <c r="D303" t="s">
        <v>327</v>
      </c>
      <c r="E303" t="s">
        <v>328</v>
      </c>
      <c r="F303" t="s">
        <v>14</v>
      </c>
      <c r="G303" t="s">
        <v>35</v>
      </c>
      <c r="H303" t="s">
        <v>350</v>
      </c>
      <c r="I303" s="5">
        <v>56708</v>
      </c>
      <c r="J303" s="5">
        <v>6728</v>
      </c>
      <c r="K303" s="5">
        <v>6728</v>
      </c>
    </row>
    <row r="304" spans="1:11" x14ac:dyDescent="0.25">
      <c r="A304">
        <v>2022</v>
      </c>
      <c r="B304">
        <v>7</v>
      </c>
      <c r="C304" t="s">
        <v>352</v>
      </c>
      <c r="D304" t="s">
        <v>327</v>
      </c>
      <c r="E304" t="s">
        <v>328</v>
      </c>
      <c r="F304" t="s">
        <v>353</v>
      </c>
      <c r="G304" t="s">
        <v>69</v>
      </c>
      <c r="H304" t="s">
        <v>16</v>
      </c>
      <c r="I304" s="5">
        <v>-0.04</v>
      </c>
      <c r="J304" s="5">
        <v>0</v>
      </c>
      <c r="K304" s="5">
        <v>16798589.969999999</v>
      </c>
    </row>
    <row r="305" spans="1:11" x14ac:dyDescent="0.25">
      <c r="A305">
        <v>2022</v>
      </c>
      <c r="B305">
        <v>7</v>
      </c>
      <c r="C305" t="s">
        <v>354</v>
      </c>
      <c r="D305" t="s">
        <v>327</v>
      </c>
      <c r="E305" t="s">
        <v>328</v>
      </c>
      <c r="F305" t="s">
        <v>353</v>
      </c>
      <c r="G305" t="s">
        <v>69</v>
      </c>
      <c r="H305" t="s">
        <v>16</v>
      </c>
      <c r="I305" s="5">
        <v>6461171.0899999999</v>
      </c>
      <c r="J305" s="5">
        <v>0</v>
      </c>
      <c r="K305" s="5">
        <v>2278718.67</v>
      </c>
    </row>
    <row r="306" spans="1:11" x14ac:dyDescent="0.25">
      <c r="A306">
        <v>2022</v>
      </c>
      <c r="B306">
        <v>7</v>
      </c>
      <c r="C306" t="s">
        <v>355</v>
      </c>
      <c r="D306" t="s">
        <v>327</v>
      </c>
      <c r="E306" t="s">
        <v>328</v>
      </c>
      <c r="F306" t="s">
        <v>353</v>
      </c>
      <c r="G306" t="s">
        <v>69</v>
      </c>
      <c r="H306" t="s">
        <v>163</v>
      </c>
      <c r="I306" s="5">
        <v>16435577.43</v>
      </c>
      <c r="J306" s="5">
        <v>0</v>
      </c>
      <c r="K306" s="5">
        <v>0</v>
      </c>
    </row>
    <row r="307" spans="1:11" x14ac:dyDescent="0.25">
      <c r="A307">
        <v>2022</v>
      </c>
      <c r="B307">
        <v>7</v>
      </c>
      <c r="C307" t="s">
        <v>356</v>
      </c>
      <c r="D307" t="s">
        <v>327</v>
      </c>
      <c r="E307" t="s">
        <v>328</v>
      </c>
      <c r="F307" t="s">
        <v>353</v>
      </c>
      <c r="G307" t="s">
        <v>69</v>
      </c>
      <c r="H307" t="s">
        <v>81</v>
      </c>
      <c r="I307" s="5">
        <v>33586918.740000002</v>
      </c>
      <c r="J307" s="5">
        <v>0</v>
      </c>
      <c r="K307" s="5">
        <v>0</v>
      </c>
    </row>
    <row r="308" spans="1:11" x14ac:dyDescent="0.25">
      <c r="A308">
        <v>2022</v>
      </c>
      <c r="B308">
        <v>7</v>
      </c>
      <c r="C308" t="s">
        <v>357</v>
      </c>
      <c r="D308" t="s">
        <v>327</v>
      </c>
      <c r="E308" t="s">
        <v>328</v>
      </c>
      <c r="F308" t="s">
        <v>353</v>
      </c>
      <c r="G308" t="s">
        <v>69</v>
      </c>
      <c r="H308" t="s">
        <v>81</v>
      </c>
      <c r="I308" s="5">
        <v>384811</v>
      </c>
      <c r="J308" s="5">
        <v>0</v>
      </c>
      <c r="K308" s="5">
        <v>0</v>
      </c>
    </row>
    <row r="309" spans="1:11" x14ac:dyDescent="0.25">
      <c r="A309">
        <v>2022</v>
      </c>
      <c r="B309">
        <v>7</v>
      </c>
      <c r="C309" t="s">
        <v>358</v>
      </c>
      <c r="D309" t="s">
        <v>327</v>
      </c>
      <c r="E309" t="s">
        <v>328</v>
      </c>
      <c r="F309" t="s">
        <v>353</v>
      </c>
      <c r="G309" t="s">
        <v>69</v>
      </c>
      <c r="H309" t="s">
        <v>85</v>
      </c>
      <c r="I309" s="5">
        <v>0</v>
      </c>
      <c r="J309" s="5">
        <v>0</v>
      </c>
      <c r="K309" s="5">
        <v>3275.36</v>
      </c>
    </row>
    <row r="310" spans="1:11" x14ac:dyDescent="0.25">
      <c r="A310">
        <v>2022</v>
      </c>
      <c r="B310">
        <v>7</v>
      </c>
      <c r="C310" t="s">
        <v>359</v>
      </c>
      <c r="D310" t="s">
        <v>327</v>
      </c>
      <c r="E310" t="s">
        <v>328</v>
      </c>
      <c r="F310" t="s">
        <v>353</v>
      </c>
      <c r="G310" t="s">
        <v>72</v>
      </c>
      <c r="H310" t="s">
        <v>16</v>
      </c>
      <c r="I310" s="5">
        <v>0</v>
      </c>
      <c r="J310" s="5">
        <v>732668.45</v>
      </c>
      <c r="K310" s="5">
        <v>732668.45</v>
      </c>
    </row>
    <row r="311" spans="1:11" x14ac:dyDescent="0.25">
      <c r="A311">
        <v>2022</v>
      </c>
      <c r="B311">
        <v>7</v>
      </c>
      <c r="C311" t="s">
        <v>360</v>
      </c>
      <c r="D311" t="s">
        <v>327</v>
      </c>
      <c r="E311" t="s">
        <v>328</v>
      </c>
      <c r="F311" t="s">
        <v>353</v>
      </c>
      <c r="G311" t="s">
        <v>72</v>
      </c>
      <c r="H311" t="s">
        <v>81</v>
      </c>
      <c r="I311" s="5">
        <v>0</v>
      </c>
      <c r="J311" s="5">
        <v>362099</v>
      </c>
      <c r="K311" s="5">
        <v>362099</v>
      </c>
    </row>
    <row r="312" spans="1:11" x14ac:dyDescent="0.25">
      <c r="A312">
        <v>2022</v>
      </c>
      <c r="B312">
        <v>7</v>
      </c>
      <c r="C312" t="s">
        <v>361</v>
      </c>
      <c r="D312" t="s">
        <v>327</v>
      </c>
      <c r="E312" t="s">
        <v>328</v>
      </c>
      <c r="F312" t="s">
        <v>353</v>
      </c>
      <c r="G312" t="s">
        <v>305</v>
      </c>
      <c r="H312" t="s">
        <v>16</v>
      </c>
      <c r="I312" s="5">
        <v>-562</v>
      </c>
      <c r="J312" s="5">
        <v>0</v>
      </c>
      <c r="K312" s="5">
        <v>0</v>
      </c>
    </row>
    <row r="313" spans="1:11" x14ac:dyDescent="0.25">
      <c r="A313">
        <v>2022</v>
      </c>
      <c r="B313">
        <v>7</v>
      </c>
      <c r="C313" t="s">
        <v>362</v>
      </c>
      <c r="D313" t="s">
        <v>327</v>
      </c>
      <c r="E313" t="s">
        <v>328</v>
      </c>
      <c r="F313" t="s">
        <v>353</v>
      </c>
      <c r="G313" t="s">
        <v>305</v>
      </c>
      <c r="H313" t="s">
        <v>87</v>
      </c>
      <c r="I313" s="5">
        <v>1148602</v>
      </c>
      <c r="J313" s="5">
        <v>0</v>
      </c>
      <c r="K313" s="5">
        <v>0</v>
      </c>
    </row>
    <row r="314" spans="1:11" x14ac:dyDescent="0.25">
      <c r="A314">
        <v>2022</v>
      </c>
      <c r="B314">
        <v>7</v>
      </c>
      <c r="C314" t="s">
        <v>407</v>
      </c>
      <c r="D314" t="s">
        <v>327</v>
      </c>
      <c r="E314" t="s">
        <v>328</v>
      </c>
      <c r="F314" t="s">
        <v>353</v>
      </c>
      <c r="G314" t="s">
        <v>69</v>
      </c>
      <c r="H314" t="s">
        <v>16</v>
      </c>
      <c r="I314" s="5">
        <v>0</v>
      </c>
      <c r="J314" s="5">
        <v>7418653.1699999999</v>
      </c>
      <c r="K314" s="5">
        <v>7423106.7000000002</v>
      </c>
    </row>
    <row r="315" spans="1:11" x14ac:dyDescent="0.25">
      <c r="A315">
        <v>2022</v>
      </c>
      <c r="B315">
        <v>7</v>
      </c>
      <c r="C315" t="s">
        <v>408</v>
      </c>
      <c r="D315" t="s">
        <v>327</v>
      </c>
      <c r="E315" t="s">
        <v>328</v>
      </c>
      <c r="F315" t="s">
        <v>353</v>
      </c>
      <c r="G315" t="s">
        <v>69</v>
      </c>
      <c r="H315" t="s">
        <v>16</v>
      </c>
      <c r="I315" s="5">
        <v>0</v>
      </c>
      <c r="J315" s="5">
        <v>958649.45</v>
      </c>
      <c r="K315" s="5">
        <v>958649.45</v>
      </c>
    </row>
    <row r="316" spans="1:11" x14ac:dyDescent="0.25">
      <c r="A316">
        <v>2022</v>
      </c>
      <c r="B316">
        <v>7</v>
      </c>
      <c r="C316" t="s">
        <v>409</v>
      </c>
      <c r="D316" t="s">
        <v>327</v>
      </c>
      <c r="E316" t="s">
        <v>328</v>
      </c>
      <c r="F316" t="s">
        <v>353</v>
      </c>
      <c r="G316" t="s">
        <v>69</v>
      </c>
      <c r="H316" t="s">
        <v>81</v>
      </c>
      <c r="I316" s="5">
        <v>968381.97</v>
      </c>
      <c r="J316" s="5">
        <v>1375361.75</v>
      </c>
      <c r="K316" s="5">
        <v>1375361.75</v>
      </c>
    </row>
    <row r="317" spans="1:11" x14ac:dyDescent="0.25">
      <c r="A317">
        <v>2022</v>
      </c>
      <c r="B317">
        <v>7</v>
      </c>
      <c r="C317" t="s">
        <v>410</v>
      </c>
      <c r="D317" t="s">
        <v>327</v>
      </c>
      <c r="E317" t="s">
        <v>328</v>
      </c>
      <c r="F317" t="s">
        <v>353</v>
      </c>
      <c r="G317" t="s">
        <v>22</v>
      </c>
      <c r="H317" t="s">
        <v>16</v>
      </c>
      <c r="I317" s="5">
        <v>1837335.86</v>
      </c>
      <c r="J317" s="5">
        <v>1766052.15</v>
      </c>
      <c r="K317" s="5">
        <v>1695023.97</v>
      </c>
    </row>
    <row r="318" spans="1:11" x14ac:dyDescent="0.25">
      <c r="A318">
        <v>2022</v>
      </c>
      <c r="B318">
        <v>7</v>
      </c>
      <c r="C318" t="s">
        <v>411</v>
      </c>
      <c r="D318" t="s">
        <v>327</v>
      </c>
      <c r="E318" t="s">
        <v>328</v>
      </c>
      <c r="F318" t="s">
        <v>353</v>
      </c>
      <c r="G318" t="s">
        <v>22</v>
      </c>
      <c r="H318" t="s">
        <v>16</v>
      </c>
      <c r="I318" s="5">
        <v>177070.82</v>
      </c>
      <c r="J318" s="5">
        <v>90185.8</v>
      </c>
      <c r="K318" s="5">
        <v>71680</v>
      </c>
    </row>
    <row r="319" spans="1:11" x14ac:dyDescent="0.25">
      <c r="A319">
        <v>2022</v>
      </c>
      <c r="B319">
        <v>7</v>
      </c>
      <c r="C319" t="s">
        <v>412</v>
      </c>
      <c r="D319" t="s">
        <v>327</v>
      </c>
      <c r="E319" t="s">
        <v>328</v>
      </c>
      <c r="F319" t="s">
        <v>353</v>
      </c>
      <c r="G319" t="s">
        <v>22</v>
      </c>
      <c r="H319" t="s">
        <v>81</v>
      </c>
      <c r="I319" s="5">
        <v>512584.76</v>
      </c>
      <c r="J319" s="5">
        <v>497004.94</v>
      </c>
      <c r="K319" s="5">
        <v>572884.81999999995</v>
      </c>
    </row>
    <row r="320" spans="1:11" x14ac:dyDescent="0.25">
      <c r="A320">
        <v>2022</v>
      </c>
      <c r="B320">
        <v>7</v>
      </c>
      <c r="C320" t="s">
        <v>413</v>
      </c>
      <c r="D320" t="s">
        <v>327</v>
      </c>
      <c r="E320" t="s">
        <v>328</v>
      </c>
      <c r="F320" t="s">
        <v>353</v>
      </c>
      <c r="G320" t="s">
        <v>284</v>
      </c>
      <c r="H320" t="s">
        <v>16</v>
      </c>
      <c r="I320" s="5">
        <v>164415.69</v>
      </c>
      <c r="J320" s="5">
        <v>437152.98</v>
      </c>
      <c r="K320" s="5">
        <v>755098.15</v>
      </c>
    </row>
    <row r="321" spans="1:11" x14ac:dyDescent="0.25">
      <c r="A321">
        <v>2022</v>
      </c>
      <c r="B321">
        <v>7</v>
      </c>
      <c r="C321" t="s">
        <v>414</v>
      </c>
      <c r="D321" t="s">
        <v>327</v>
      </c>
      <c r="E321" t="s">
        <v>328</v>
      </c>
      <c r="F321" t="s">
        <v>353</v>
      </c>
      <c r="G321" t="s">
        <v>284</v>
      </c>
      <c r="H321" t="s">
        <v>81</v>
      </c>
      <c r="I321" s="5">
        <v>260949.66</v>
      </c>
      <c r="J321" s="5">
        <v>458090.69</v>
      </c>
      <c r="K321" s="5">
        <v>571003.34</v>
      </c>
    </row>
    <row r="322" spans="1:11" x14ac:dyDescent="0.25">
      <c r="A322">
        <v>2022</v>
      </c>
      <c r="B322">
        <v>7</v>
      </c>
      <c r="C322" t="s">
        <v>415</v>
      </c>
      <c r="D322" t="s">
        <v>327</v>
      </c>
      <c r="E322" t="s">
        <v>328</v>
      </c>
      <c r="F322" t="s">
        <v>353</v>
      </c>
      <c r="G322" t="s">
        <v>167</v>
      </c>
      <c r="H322" t="s">
        <v>81</v>
      </c>
      <c r="I322" s="5">
        <v>0</v>
      </c>
      <c r="J322" s="5">
        <v>19211.05</v>
      </c>
      <c r="K322" s="5">
        <v>367955.84</v>
      </c>
    </row>
    <row r="323" spans="1:11" x14ac:dyDescent="0.25">
      <c r="A323">
        <v>2022</v>
      </c>
      <c r="B323">
        <v>7</v>
      </c>
      <c r="C323" t="s">
        <v>416</v>
      </c>
      <c r="D323" t="s">
        <v>327</v>
      </c>
      <c r="E323" t="s">
        <v>328</v>
      </c>
      <c r="F323" t="s">
        <v>353</v>
      </c>
      <c r="G323" t="s">
        <v>26</v>
      </c>
      <c r="H323" t="s">
        <v>16</v>
      </c>
      <c r="I323" s="5">
        <v>6909320.54</v>
      </c>
      <c r="J323" s="5">
        <v>7718988.1699999999</v>
      </c>
      <c r="K323" s="5">
        <v>8145552.0999999996</v>
      </c>
    </row>
    <row r="324" spans="1:11" x14ac:dyDescent="0.25">
      <c r="A324">
        <v>2022</v>
      </c>
      <c r="B324">
        <v>7</v>
      </c>
      <c r="C324" t="s">
        <v>417</v>
      </c>
      <c r="D324" t="s">
        <v>327</v>
      </c>
      <c r="E324" t="s">
        <v>328</v>
      </c>
      <c r="F324" t="s">
        <v>353</v>
      </c>
      <c r="G324" t="s">
        <v>26</v>
      </c>
      <c r="H324" t="s">
        <v>81</v>
      </c>
      <c r="I324" s="5">
        <v>-194975.46</v>
      </c>
      <c r="J324" s="5">
        <v>3976474.14</v>
      </c>
      <c r="K324" s="5">
        <v>4823298.92</v>
      </c>
    </row>
    <row r="325" spans="1:11" x14ac:dyDescent="0.25">
      <c r="A325">
        <v>2022</v>
      </c>
      <c r="B325">
        <v>7</v>
      </c>
      <c r="C325" t="s">
        <v>418</v>
      </c>
      <c r="D325" t="s">
        <v>327</v>
      </c>
      <c r="E325" t="s">
        <v>328</v>
      </c>
      <c r="F325" t="s">
        <v>353</v>
      </c>
      <c r="G325" t="s">
        <v>26</v>
      </c>
      <c r="H325" t="s">
        <v>85</v>
      </c>
      <c r="I325" s="5">
        <v>1403719.95</v>
      </c>
      <c r="J325" s="5">
        <v>895334.81</v>
      </c>
      <c r="K325" s="5">
        <v>904720.03</v>
      </c>
    </row>
    <row r="326" spans="1:11" x14ac:dyDescent="0.25">
      <c r="A326">
        <v>2022</v>
      </c>
      <c r="B326">
        <v>7</v>
      </c>
      <c r="C326" t="s">
        <v>419</v>
      </c>
      <c r="D326" t="s">
        <v>327</v>
      </c>
      <c r="E326" t="s">
        <v>328</v>
      </c>
      <c r="F326" t="s">
        <v>353</v>
      </c>
      <c r="G326" t="s">
        <v>50</v>
      </c>
      <c r="H326" t="s">
        <v>16</v>
      </c>
      <c r="I326" s="5">
        <v>0</v>
      </c>
      <c r="J326" s="5">
        <v>289724.69</v>
      </c>
      <c r="K326" s="5">
        <v>296719.40000000002</v>
      </c>
    </row>
    <row r="327" spans="1:11" x14ac:dyDescent="0.25">
      <c r="A327">
        <v>2022</v>
      </c>
      <c r="B327">
        <v>7</v>
      </c>
      <c r="C327" t="s">
        <v>420</v>
      </c>
      <c r="D327" t="s">
        <v>327</v>
      </c>
      <c r="E327" t="s">
        <v>328</v>
      </c>
      <c r="F327" t="s">
        <v>353</v>
      </c>
      <c r="G327" t="s">
        <v>33</v>
      </c>
      <c r="H327" t="s">
        <v>81</v>
      </c>
      <c r="I327" s="5">
        <v>14729</v>
      </c>
      <c r="J327" s="5">
        <v>14729</v>
      </c>
      <c r="K327" s="5">
        <v>14751</v>
      </c>
    </row>
    <row r="328" spans="1:11" x14ac:dyDescent="0.25">
      <c r="A328">
        <v>2022</v>
      </c>
      <c r="B328">
        <v>7</v>
      </c>
      <c r="C328" t="s">
        <v>421</v>
      </c>
      <c r="D328" t="s">
        <v>327</v>
      </c>
      <c r="E328" t="s">
        <v>328</v>
      </c>
      <c r="F328" t="s">
        <v>353</v>
      </c>
      <c r="G328" t="s">
        <v>35</v>
      </c>
      <c r="H328" t="s">
        <v>16</v>
      </c>
      <c r="I328" s="5">
        <v>39432.04</v>
      </c>
      <c r="J328" s="5">
        <v>164461.5</v>
      </c>
      <c r="K328" s="5">
        <v>259932.4</v>
      </c>
    </row>
    <row r="329" spans="1:11" x14ac:dyDescent="0.25">
      <c r="A329">
        <v>2022</v>
      </c>
      <c r="B329">
        <v>7</v>
      </c>
      <c r="C329" t="s">
        <v>422</v>
      </c>
      <c r="D329" t="s">
        <v>327</v>
      </c>
      <c r="E329" t="s">
        <v>328</v>
      </c>
      <c r="F329" t="s">
        <v>353</v>
      </c>
      <c r="G329" t="s">
        <v>35</v>
      </c>
      <c r="H329" t="s">
        <v>42</v>
      </c>
      <c r="I329" s="5">
        <v>0</v>
      </c>
      <c r="J329" s="5">
        <v>50000</v>
      </c>
      <c r="K329" s="5">
        <v>50000</v>
      </c>
    </row>
    <row r="330" spans="1:11" x14ac:dyDescent="0.25">
      <c r="A330">
        <v>2022</v>
      </c>
      <c r="B330">
        <v>7</v>
      </c>
      <c r="C330" t="s">
        <v>326</v>
      </c>
      <c r="D330" t="s">
        <v>327</v>
      </c>
      <c r="E330" t="s">
        <v>328</v>
      </c>
      <c r="F330" t="s">
        <v>329</v>
      </c>
      <c r="G330" t="s">
        <v>15</v>
      </c>
      <c r="H330" t="s">
        <v>16</v>
      </c>
      <c r="I330" s="5">
        <v>13511715.73</v>
      </c>
      <c r="J330" s="5">
        <v>13511715.73</v>
      </c>
      <c r="K330" s="5">
        <v>13511715.73</v>
      </c>
    </row>
    <row r="331" spans="1:11" x14ac:dyDescent="0.25">
      <c r="A331">
        <v>2022</v>
      </c>
      <c r="B331">
        <v>7</v>
      </c>
      <c r="C331" t="s">
        <v>330</v>
      </c>
      <c r="D331" t="s">
        <v>327</v>
      </c>
      <c r="E331" t="s">
        <v>328</v>
      </c>
      <c r="F331" t="s">
        <v>329</v>
      </c>
      <c r="G331" t="s">
        <v>116</v>
      </c>
      <c r="H331" t="s">
        <v>16</v>
      </c>
      <c r="I331" s="5">
        <v>463682.86</v>
      </c>
      <c r="J331" s="5">
        <v>463682.86</v>
      </c>
      <c r="K331" s="5">
        <v>466259.48</v>
      </c>
    </row>
    <row r="332" spans="1:11" x14ac:dyDescent="0.25">
      <c r="A332">
        <v>2022</v>
      </c>
      <c r="B332">
        <v>7</v>
      </c>
      <c r="C332" t="s">
        <v>331</v>
      </c>
      <c r="D332" t="s">
        <v>327</v>
      </c>
      <c r="E332" t="s">
        <v>328</v>
      </c>
      <c r="F332" t="s">
        <v>329</v>
      </c>
      <c r="G332" t="s">
        <v>122</v>
      </c>
      <c r="H332" t="s">
        <v>16</v>
      </c>
      <c r="I332" s="5">
        <v>622259.69999999995</v>
      </c>
      <c r="J332" s="5">
        <v>622259.69999999995</v>
      </c>
      <c r="K332" s="5">
        <v>622259.69999999995</v>
      </c>
    </row>
    <row r="333" spans="1:11" x14ac:dyDescent="0.25">
      <c r="A333">
        <v>2022</v>
      </c>
      <c r="B333">
        <v>7</v>
      </c>
      <c r="C333" t="s">
        <v>332</v>
      </c>
      <c r="D333" t="s">
        <v>327</v>
      </c>
      <c r="E333" t="s">
        <v>328</v>
      </c>
      <c r="F333" t="s">
        <v>329</v>
      </c>
      <c r="G333" t="s">
        <v>124</v>
      </c>
      <c r="H333" t="s">
        <v>16</v>
      </c>
      <c r="I333" s="5">
        <v>526376.09</v>
      </c>
      <c r="J333" s="5">
        <v>526376.09</v>
      </c>
      <c r="K333" s="5">
        <v>488422.02</v>
      </c>
    </row>
    <row r="334" spans="1:11" x14ac:dyDescent="0.25">
      <c r="A334">
        <v>2022</v>
      </c>
      <c r="B334">
        <v>7</v>
      </c>
      <c r="C334" t="s">
        <v>333</v>
      </c>
      <c r="D334" t="s">
        <v>327</v>
      </c>
      <c r="E334" t="s">
        <v>328</v>
      </c>
      <c r="F334" t="s">
        <v>329</v>
      </c>
      <c r="G334" t="s">
        <v>334</v>
      </c>
      <c r="H334" t="s">
        <v>16</v>
      </c>
      <c r="I334" s="5">
        <v>27141.96</v>
      </c>
      <c r="J334" s="5">
        <v>27141.96</v>
      </c>
      <c r="K334" s="5">
        <v>27141.96</v>
      </c>
    </row>
    <row r="335" spans="1:11" x14ac:dyDescent="0.25">
      <c r="A335">
        <v>2022</v>
      </c>
      <c r="B335">
        <v>7</v>
      </c>
      <c r="C335" t="s">
        <v>335</v>
      </c>
      <c r="D335" t="s">
        <v>327</v>
      </c>
      <c r="E335" t="s">
        <v>328</v>
      </c>
      <c r="F335" t="s">
        <v>329</v>
      </c>
      <c r="G335" t="s">
        <v>116</v>
      </c>
      <c r="H335" t="s">
        <v>16</v>
      </c>
      <c r="I335" s="5">
        <v>2661198.3199999998</v>
      </c>
      <c r="J335" s="5">
        <v>2661198.3199999998</v>
      </c>
      <c r="K335" s="5">
        <v>2676466.2000000002</v>
      </c>
    </row>
    <row r="336" spans="1:11" x14ac:dyDescent="0.25">
      <c r="A336">
        <v>2022</v>
      </c>
      <c r="B336">
        <v>7</v>
      </c>
      <c r="C336" t="s">
        <v>336</v>
      </c>
      <c r="D336" t="s">
        <v>327</v>
      </c>
      <c r="E336" t="s">
        <v>328</v>
      </c>
      <c r="F336" t="s">
        <v>329</v>
      </c>
      <c r="G336" t="s">
        <v>136</v>
      </c>
      <c r="H336" t="s">
        <v>16</v>
      </c>
      <c r="I336" s="5">
        <v>45140.160000000003</v>
      </c>
      <c r="J336" s="5">
        <v>45140.160000000003</v>
      </c>
      <c r="K336" s="5">
        <v>45140.160000000003</v>
      </c>
    </row>
    <row r="337" spans="1:11" x14ac:dyDescent="0.25">
      <c r="A337">
        <v>2022</v>
      </c>
      <c r="B337">
        <v>7</v>
      </c>
      <c r="C337" t="s">
        <v>337</v>
      </c>
      <c r="D337" t="s">
        <v>327</v>
      </c>
      <c r="E337" t="s">
        <v>328</v>
      </c>
      <c r="F337" t="s">
        <v>329</v>
      </c>
      <c r="G337" t="s">
        <v>143</v>
      </c>
      <c r="H337" t="s">
        <v>16</v>
      </c>
      <c r="I337" s="5">
        <v>2795</v>
      </c>
      <c r="J337" s="5">
        <v>2795</v>
      </c>
      <c r="K337" s="5">
        <v>-5</v>
      </c>
    </row>
    <row r="338" spans="1:11" x14ac:dyDescent="0.25">
      <c r="A338">
        <v>2022</v>
      </c>
      <c r="B338">
        <v>7</v>
      </c>
      <c r="C338" t="s">
        <v>338</v>
      </c>
      <c r="D338" t="s">
        <v>327</v>
      </c>
      <c r="E338" t="s">
        <v>328</v>
      </c>
      <c r="F338" t="s">
        <v>329</v>
      </c>
      <c r="G338" t="s">
        <v>22</v>
      </c>
      <c r="H338" t="s">
        <v>16</v>
      </c>
      <c r="I338" s="5">
        <v>-60908.76</v>
      </c>
      <c r="J338" s="5">
        <v>65794.86</v>
      </c>
      <c r="K338" s="5">
        <v>69134.210000000006</v>
      </c>
    </row>
    <row r="339" spans="1:11" x14ac:dyDescent="0.25">
      <c r="A339">
        <v>2022</v>
      </c>
      <c r="B339">
        <v>7</v>
      </c>
      <c r="C339" t="s">
        <v>339</v>
      </c>
      <c r="D339" t="s">
        <v>327</v>
      </c>
      <c r="E339" t="s">
        <v>328</v>
      </c>
      <c r="F339" t="s">
        <v>329</v>
      </c>
      <c r="G339" t="s">
        <v>24</v>
      </c>
      <c r="H339" t="s">
        <v>16</v>
      </c>
      <c r="I339" s="5">
        <v>-1412.59</v>
      </c>
      <c r="J339" s="5">
        <v>45808.84</v>
      </c>
      <c r="K339" s="5">
        <v>45808.84</v>
      </c>
    </row>
    <row r="340" spans="1:11" x14ac:dyDescent="0.25">
      <c r="A340">
        <v>2022</v>
      </c>
      <c r="B340">
        <v>7</v>
      </c>
      <c r="C340" t="s">
        <v>340</v>
      </c>
      <c r="D340" t="s">
        <v>327</v>
      </c>
      <c r="E340" t="s">
        <v>328</v>
      </c>
      <c r="F340" t="s">
        <v>329</v>
      </c>
      <c r="G340" t="s">
        <v>24</v>
      </c>
      <c r="H340" t="s">
        <v>16</v>
      </c>
      <c r="I340" s="5">
        <v>0</v>
      </c>
      <c r="J340" s="5">
        <v>10151.4</v>
      </c>
      <c r="K340" s="5">
        <v>10151.4</v>
      </c>
    </row>
    <row r="341" spans="1:11" x14ac:dyDescent="0.25">
      <c r="A341">
        <v>2022</v>
      </c>
      <c r="B341">
        <v>7</v>
      </c>
      <c r="C341" t="s">
        <v>341</v>
      </c>
      <c r="D341" t="s">
        <v>327</v>
      </c>
      <c r="E341" t="s">
        <v>328</v>
      </c>
      <c r="F341" t="s">
        <v>329</v>
      </c>
      <c r="G341" t="s">
        <v>167</v>
      </c>
      <c r="H341" t="s">
        <v>16</v>
      </c>
      <c r="I341" s="5">
        <v>37749.910000000003</v>
      </c>
      <c r="J341" s="5">
        <v>555096.25</v>
      </c>
      <c r="K341" s="5">
        <v>534336.57999999996</v>
      </c>
    </row>
    <row r="342" spans="1:11" x14ac:dyDescent="0.25">
      <c r="A342">
        <v>2022</v>
      </c>
      <c r="B342">
        <v>7</v>
      </c>
      <c r="C342" t="s">
        <v>342</v>
      </c>
      <c r="D342" t="s">
        <v>327</v>
      </c>
      <c r="E342" t="s">
        <v>328</v>
      </c>
      <c r="F342" t="s">
        <v>329</v>
      </c>
      <c r="G342" t="s">
        <v>167</v>
      </c>
      <c r="H342" t="s">
        <v>16</v>
      </c>
      <c r="I342" s="5">
        <v>-178038.38</v>
      </c>
      <c r="J342" s="5">
        <v>33666.620000000003</v>
      </c>
      <c r="K342" s="5">
        <v>39054.160000000003</v>
      </c>
    </row>
    <row r="343" spans="1:11" x14ac:dyDescent="0.25">
      <c r="A343">
        <v>2022</v>
      </c>
      <c r="B343">
        <v>7</v>
      </c>
      <c r="C343" t="s">
        <v>343</v>
      </c>
      <c r="D343" t="s">
        <v>327</v>
      </c>
      <c r="E343" t="s">
        <v>328</v>
      </c>
      <c r="F343" t="s">
        <v>329</v>
      </c>
      <c r="G343" t="s">
        <v>26</v>
      </c>
      <c r="H343" t="s">
        <v>16</v>
      </c>
      <c r="I343" s="5">
        <v>-24067.81</v>
      </c>
      <c r="J343" s="5">
        <v>230757.77</v>
      </c>
      <c r="K343" s="5">
        <v>226072.51</v>
      </c>
    </row>
    <row r="344" spans="1:11" x14ac:dyDescent="0.25">
      <c r="A344">
        <v>2022</v>
      </c>
      <c r="B344">
        <v>7</v>
      </c>
      <c r="C344" t="s">
        <v>344</v>
      </c>
      <c r="D344" t="s">
        <v>327</v>
      </c>
      <c r="E344" t="s">
        <v>328</v>
      </c>
      <c r="F344" t="s">
        <v>329</v>
      </c>
      <c r="G344" t="s">
        <v>26</v>
      </c>
      <c r="H344" t="s">
        <v>16</v>
      </c>
      <c r="I344" s="5">
        <v>195740.5</v>
      </c>
      <c r="J344" s="5">
        <v>336358.38</v>
      </c>
      <c r="K344" s="5">
        <v>339462.81</v>
      </c>
    </row>
    <row r="345" spans="1:11" x14ac:dyDescent="0.25">
      <c r="A345">
        <v>2022</v>
      </c>
      <c r="B345">
        <v>7</v>
      </c>
      <c r="C345" t="s">
        <v>345</v>
      </c>
      <c r="D345" t="s">
        <v>327</v>
      </c>
      <c r="E345" t="s">
        <v>328</v>
      </c>
      <c r="F345" t="s">
        <v>329</v>
      </c>
      <c r="G345" t="s">
        <v>26</v>
      </c>
      <c r="H345" t="s">
        <v>16</v>
      </c>
      <c r="I345" s="5">
        <v>0</v>
      </c>
      <c r="J345" s="5">
        <v>387959.17</v>
      </c>
      <c r="K345" s="5">
        <v>387959.17</v>
      </c>
    </row>
    <row r="346" spans="1:11" x14ac:dyDescent="0.25">
      <c r="A346">
        <v>2022</v>
      </c>
      <c r="B346">
        <v>7</v>
      </c>
      <c r="C346" t="s">
        <v>346</v>
      </c>
      <c r="D346" t="s">
        <v>327</v>
      </c>
      <c r="E346" t="s">
        <v>328</v>
      </c>
      <c r="F346" t="s">
        <v>329</v>
      </c>
      <c r="G346" t="s">
        <v>26</v>
      </c>
      <c r="H346" t="s">
        <v>16</v>
      </c>
      <c r="I346" s="5">
        <v>143059.16</v>
      </c>
      <c r="J346" s="5">
        <v>23954</v>
      </c>
      <c r="K346" s="5">
        <v>47827.49</v>
      </c>
    </row>
    <row r="347" spans="1:11" x14ac:dyDescent="0.25">
      <c r="A347">
        <v>2022</v>
      </c>
      <c r="B347">
        <v>7</v>
      </c>
      <c r="C347" t="s">
        <v>347</v>
      </c>
      <c r="D347" t="s">
        <v>327</v>
      </c>
      <c r="E347" t="s">
        <v>328</v>
      </c>
      <c r="F347" t="s">
        <v>329</v>
      </c>
      <c r="G347" t="s">
        <v>187</v>
      </c>
      <c r="H347" t="s">
        <v>16</v>
      </c>
      <c r="I347" s="5">
        <v>495894</v>
      </c>
      <c r="J347" s="5">
        <v>495894</v>
      </c>
      <c r="K347" s="5">
        <v>495894</v>
      </c>
    </row>
    <row r="348" spans="1:11" x14ac:dyDescent="0.25">
      <c r="A348">
        <v>2022</v>
      </c>
      <c r="B348">
        <v>7</v>
      </c>
      <c r="C348" t="s">
        <v>348</v>
      </c>
      <c r="D348" t="s">
        <v>327</v>
      </c>
      <c r="E348" t="s">
        <v>328</v>
      </c>
      <c r="F348" t="s">
        <v>329</v>
      </c>
      <c r="G348" t="s">
        <v>52</v>
      </c>
      <c r="H348" t="s">
        <v>16</v>
      </c>
      <c r="I348" s="5">
        <v>7998</v>
      </c>
      <c r="J348" s="5">
        <v>7998</v>
      </c>
      <c r="K348" s="5">
        <v>8358</v>
      </c>
    </row>
    <row r="349" spans="1:11" x14ac:dyDescent="0.25">
      <c r="A349">
        <v>2022</v>
      </c>
      <c r="B349">
        <v>7</v>
      </c>
      <c r="C349" t="s">
        <v>351</v>
      </c>
      <c r="D349" t="s">
        <v>327</v>
      </c>
      <c r="E349" t="s">
        <v>328</v>
      </c>
      <c r="F349" t="s">
        <v>329</v>
      </c>
      <c r="G349" t="s">
        <v>35</v>
      </c>
      <c r="H349" t="s">
        <v>81</v>
      </c>
      <c r="I349" s="5">
        <v>39065.5</v>
      </c>
      <c r="J349" s="5">
        <v>23877</v>
      </c>
      <c r="K349" s="5">
        <v>34990.559999999998</v>
      </c>
    </row>
    <row r="350" spans="1:11" x14ac:dyDescent="0.25">
      <c r="A350">
        <v>2022</v>
      </c>
      <c r="B350">
        <v>7</v>
      </c>
      <c r="C350" t="s">
        <v>363</v>
      </c>
      <c r="D350" t="s">
        <v>327</v>
      </c>
      <c r="E350" t="s">
        <v>328</v>
      </c>
      <c r="F350" t="s">
        <v>329</v>
      </c>
      <c r="G350" t="s">
        <v>214</v>
      </c>
      <c r="H350" t="s">
        <v>81</v>
      </c>
      <c r="I350" s="5">
        <v>710802.36</v>
      </c>
      <c r="J350" s="5">
        <v>710802.36</v>
      </c>
      <c r="K350" s="5">
        <v>710802.36</v>
      </c>
    </row>
    <row r="351" spans="1:11" x14ac:dyDescent="0.25">
      <c r="A351">
        <v>2022</v>
      </c>
      <c r="B351">
        <v>7</v>
      </c>
      <c r="C351" t="s">
        <v>368</v>
      </c>
      <c r="D351" t="s">
        <v>327</v>
      </c>
      <c r="E351" t="s">
        <v>328</v>
      </c>
      <c r="F351" t="s">
        <v>329</v>
      </c>
      <c r="G351" t="s">
        <v>22</v>
      </c>
      <c r="H351" t="s">
        <v>16</v>
      </c>
      <c r="I351" s="5">
        <v>40411.01</v>
      </c>
      <c r="J351" s="5">
        <v>26766.39</v>
      </c>
      <c r="K351" s="5">
        <v>29125.08</v>
      </c>
    </row>
    <row r="352" spans="1:11" x14ac:dyDescent="0.25">
      <c r="A352">
        <v>2022</v>
      </c>
      <c r="B352">
        <v>7</v>
      </c>
      <c r="C352" t="s">
        <v>369</v>
      </c>
      <c r="D352" t="s">
        <v>327</v>
      </c>
      <c r="E352" t="s">
        <v>328</v>
      </c>
      <c r="F352" t="s">
        <v>329</v>
      </c>
      <c r="G352" t="s">
        <v>22</v>
      </c>
      <c r="H352" t="s">
        <v>163</v>
      </c>
      <c r="I352" s="5">
        <v>376328.1</v>
      </c>
      <c r="J352" s="5">
        <v>446745.42</v>
      </c>
      <c r="K352" s="5">
        <v>50628.63</v>
      </c>
    </row>
    <row r="353" spans="1:11" x14ac:dyDescent="0.25">
      <c r="A353">
        <v>2022</v>
      </c>
      <c r="B353">
        <v>7</v>
      </c>
      <c r="C353" t="s">
        <v>370</v>
      </c>
      <c r="D353" t="s">
        <v>327</v>
      </c>
      <c r="E353" t="s">
        <v>328</v>
      </c>
      <c r="F353" t="s">
        <v>329</v>
      </c>
      <c r="G353" t="s">
        <v>22</v>
      </c>
      <c r="H353" t="s">
        <v>81</v>
      </c>
      <c r="I353" s="5">
        <v>43685.27</v>
      </c>
      <c r="J353" s="5">
        <v>152663.04000000001</v>
      </c>
      <c r="K353" s="5">
        <v>153434.89000000001</v>
      </c>
    </row>
    <row r="354" spans="1:11" x14ac:dyDescent="0.25">
      <c r="A354">
        <v>2022</v>
      </c>
      <c r="B354">
        <v>7</v>
      </c>
      <c r="C354" t="s">
        <v>371</v>
      </c>
      <c r="D354" t="s">
        <v>327</v>
      </c>
      <c r="E354" t="s">
        <v>328</v>
      </c>
      <c r="F354" t="s">
        <v>329</v>
      </c>
      <c r="G354" t="s">
        <v>22</v>
      </c>
      <c r="H354" t="s">
        <v>81</v>
      </c>
      <c r="I354" s="5">
        <v>3143.25</v>
      </c>
      <c r="J354" s="5">
        <v>0</v>
      </c>
      <c r="K354" s="5">
        <v>1056.96</v>
      </c>
    </row>
    <row r="355" spans="1:11" x14ac:dyDescent="0.25">
      <c r="A355">
        <v>2022</v>
      </c>
      <c r="B355">
        <v>7</v>
      </c>
      <c r="C355" t="s">
        <v>372</v>
      </c>
      <c r="D355" t="s">
        <v>327</v>
      </c>
      <c r="E355" t="s">
        <v>328</v>
      </c>
      <c r="F355" t="s">
        <v>329</v>
      </c>
      <c r="G355" t="s">
        <v>22</v>
      </c>
      <c r="H355" t="s">
        <v>350</v>
      </c>
      <c r="I355" s="5">
        <v>65750</v>
      </c>
      <c r="J355" s="5">
        <v>0</v>
      </c>
      <c r="K355" s="5">
        <v>0</v>
      </c>
    </row>
    <row r="356" spans="1:11" x14ac:dyDescent="0.25">
      <c r="A356">
        <v>2022</v>
      </c>
      <c r="B356">
        <v>7</v>
      </c>
      <c r="C356" t="s">
        <v>373</v>
      </c>
      <c r="D356" t="s">
        <v>327</v>
      </c>
      <c r="E356" t="s">
        <v>328</v>
      </c>
      <c r="F356" t="s">
        <v>329</v>
      </c>
      <c r="G356" t="s">
        <v>22</v>
      </c>
      <c r="H356" t="s">
        <v>87</v>
      </c>
      <c r="I356" s="5">
        <v>0</v>
      </c>
      <c r="J356" s="5">
        <v>10398.75</v>
      </c>
      <c r="K356" s="5">
        <v>3916.65</v>
      </c>
    </row>
    <row r="357" spans="1:11" x14ac:dyDescent="0.25">
      <c r="A357">
        <v>2022</v>
      </c>
      <c r="B357">
        <v>7</v>
      </c>
      <c r="C357" t="s">
        <v>382</v>
      </c>
      <c r="D357" t="s">
        <v>327</v>
      </c>
      <c r="E357" t="s">
        <v>328</v>
      </c>
      <c r="F357" t="s">
        <v>329</v>
      </c>
      <c r="G357" t="s">
        <v>284</v>
      </c>
      <c r="H357" t="s">
        <v>81</v>
      </c>
      <c r="I357" s="5">
        <v>57160.25</v>
      </c>
      <c r="J357" s="5">
        <v>29687.96</v>
      </c>
      <c r="K357" s="5">
        <v>5737.5</v>
      </c>
    </row>
    <row r="358" spans="1:11" x14ac:dyDescent="0.25">
      <c r="A358">
        <v>2022</v>
      </c>
      <c r="B358">
        <v>7</v>
      </c>
      <c r="C358" t="s">
        <v>383</v>
      </c>
      <c r="D358" t="s">
        <v>327</v>
      </c>
      <c r="E358" t="s">
        <v>328</v>
      </c>
      <c r="F358" t="s">
        <v>329</v>
      </c>
      <c r="G358" t="s">
        <v>284</v>
      </c>
      <c r="H358" t="s">
        <v>85</v>
      </c>
      <c r="I358" s="5">
        <v>176525.03</v>
      </c>
      <c r="J358" s="5">
        <v>110622</v>
      </c>
      <c r="K358" s="5">
        <v>633267.1</v>
      </c>
    </row>
    <row r="359" spans="1:11" x14ac:dyDescent="0.25">
      <c r="A359">
        <v>2022</v>
      </c>
      <c r="B359">
        <v>7</v>
      </c>
      <c r="C359" t="s">
        <v>385</v>
      </c>
      <c r="D359" t="s">
        <v>327</v>
      </c>
      <c r="E359" t="s">
        <v>328</v>
      </c>
      <c r="F359" t="s">
        <v>329</v>
      </c>
      <c r="G359" t="s">
        <v>24</v>
      </c>
      <c r="H359" t="s">
        <v>16</v>
      </c>
      <c r="I359" s="5">
        <v>48244.51</v>
      </c>
      <c r="J359" s="5">
        <v>22867</v>
      </c>
      <c r="K359" s="5">
        <v>22317</v>
      </c>
    </row>
    <row r="360" spans="1:11" x14ac:dyDescent="0.25">
      <c r="A360">
        <v>2022</v>
      </c>
      <c r="B360">
        <v>7</v>
      </c>
      <c r="C360" t="s">
        <v>388</v>
      </c>
      <c r="D360" t="s">
        <v>327</v>
      </c>
      <c r="E360" t="s">
        <v>328</v>
      </c>
      <c r="F360" t="s">
        <v>329</v>
      </c>
      <c r="G360" t="s">
        <v>167</v>
      </c>
      <c r="H360" t="s">
        <v>16</v>
      </c>
      <c r="I360" s="5">
        <v>0</v>
      </c>
      <c r="J360" s="5">
        <v>287492.92</v>
      </c>
      <c r="K360" s="5">
        <v>287492.92</v>
      </c>
    </row>
    <row r="361" spans="1:11" x14ac:dyDescent="0.25">
      <c r="A361">
        <v>2022</v>
      </c>
      <c r="B361">
        <v>7</v>
      </c>
      <c r="C361" t="s">
        <v>389</v>
      </c>
      <c r="D361" t="s">
        <v>327</v>
      </c>
      <c r="E361" t="s">
        <v>328</v>
      </c>
      <c r="F361" t="s">
        <v>329</v>
      </c>
      <c r="G361" t="s">
        <v>167</v>
      </c>
      <c r="H361" t="s">
        <v>81</v>
      </c>
      <c r="I361" s="5">
        <v>0</v>
      </c>
      <c r="J361" s="5">
        <v>0</v>
      </c>
      <c r="K361" s="5">
        <v>275599.06</v>
      </c>
    </row>
    <row r="362" spans="1:11" x14ac:dyDescent="0.25">
      <c r="A362">
        <v>2022</v>
      </c>
      <c r="B362">
        <v>7</v>
      </c>
      <c r="C362" t="s">
        <v>390</v>
      </c>
      <c r="D362" t="s">
        <v>327</v>
      </c>
      <c r="E362" t="s">
        <v>328</v>
      </c>
      <c r="F362" t="s">
        <v>329</v>
      </c>
      <c r="G362" t="s">
        <v>167</v>
      </c>
      <c r="H362" t="s">
        <v>42</v>
      </c>
      <c r="I362" s="5">
        <v>67839.58</v>
      </c>
      <c r="J362" s="5">
        <v>12844.8</v>
      </c>
      <c r="K362" s="5">
        <v>9432.9</v>
      </c>
    </row>
    <row r="363" spans="1:11" x14ac:dyDescent="0.25">
      <c r="A363">
        <v>2022</v>
      </c>
      <c r="B363">
        <v>7</v>
      </c>
      <c r="C363" t="s">
        <v>393</v>
      </c>
      <c r="D363" t="s">
        <v>327</v>
      </c>
      <c r="E363" t="s">
        <v>328</v>
      </c>
      <c r="F363" t="s">
        <v>329</v>
      </c>
      <c r="G363" t="s">
        <v>26</v>
      </c>
      <c r="H363" t="s">
        <v>16</v>
      </c>
      <c r="I363" s="5">
        <v>988029.82</v>
      </c>
      <c r="J363" s="5">
        <v>222881.42</v>
      </c>
      <c r="K363" s="5">
        <v>223574.59</v>
      </c>
    </row>
    <row r="364" spans="1:11" x14ac:dyDescent="0.25">
      <c r="A364">
        <v>2022</v>
      </c>
      <c r="B364">
        <v>7</v>
      </c>
      <c r="C364" t="s">
        <v>394</v>
      </c>
      <c r="D364" t="s">
        <v>327</v>
      </c>
      <c r="E364" t="s">
        <v>328</v>
      </c>
      <c r="F364" t="s">
        <v>329</v>
      </c>
      <c r="G364" t="s">
        <v>26</v>
      </c>
      <c r="H364" t="s">
        <v>81</v>
      </c>
      <c r="I364" s="5">
        <v>120541.07</v>
      </c>
      <c r="J364" s="5">
        <v>969185.52</v>
      </c>
      <c r="K364" s="5">
        <v>978933.26</v>
      </c>
    </row>
    <row r="365" spans="1:11" x14ac:dyDescent="0.25">
      <c r="A365">
        <v>2022</v>
      </c>
      <c r="B365">
        <v>7</v>
      </c>
      <c r="C365" t="s">
        <v>395</v>
      </c>
      <c r="D365" t="s">
        <v>327</v>
      </c>
      <c r="E365" t="s">
        <v>328</v>
      </c>
      <c r="F365" t="s">
        <v>329</v>
      </c>
      <c r="G365" t="s">
        <v>26</v>
      </c>
      <c r="H365" t="s">
        <v>81</v>
      </c>
      <c r="I365" s="5">
        <v>450</v>
      </c>
      <c r="J365" s="5">
        <v>9180</v>
      </c>
      <c r="K365" s="5">
        <v>8938</v>
      </c>
    </row>
    <row r="366" spans="1:11" x14ac:dyDescent="0.25">
      <c r="A366">
        <v>2022</v>
      </c>
      <c r="B366">
        <v>7</v>
      </c>
      <c r="C366" t="s">
        <v>396</v>
      </c>
      <c r="D366" t="s">
        <v>327</v>
      </c>
      <c r="E366" t="s">
        <v>328</v>
      </c>
      <c r="F366" t="s">
        <v>329</v>
      </c>
      <c r="G366" t="s">
        <v>26</v>
      </c>
      <c r="H366" t="s">
        <v>85</v>
      </c>
      <c r="I366" s="5">
        <v>4680</v>
      </c>
      <c r="J366" s="5">
        <v>16800</v>
      </c>
      <c r="K366" s="5">
        <v>31822.799999999999</v>
      </c>
    </row>
    <row r="367" spans="1:11" x14ac:dyDescent="0.25">
      <c r="A367">
        <v>2022</v>
      </c>
      <c r="B367">
        <v>7</v>
      </c>
      <c r="C367" t="s">
        <v>403</v>
      </c>
      <c r="D367" t="s">
        <v>327</v>
      </c>
      <c r="E367" t="s">
        <v>328</v>
      </c>
      <c r="F367" t="s">
        <v>329</v>
      </c>
      <c r="G367" t="s">
        <v>50</v>
      </c>
      <c r="H367" t="s">
        <v>81</v>
      </c>
      <c r="I367" s="5">
        <v>0</v>
      </c>
      <c r="J367" s="5">
        <v>619352.64</v>
      </c>
      <c r="K367" s="5">
        <v>623230.28</v>
      </c>
    </row>
    <row r="368" spans="1:11" x14ac:dyDescent="0.25">
      <c r="A368">
        <v>2022</v>
      </c>
      <c r="B368">
        <v>7</v>
      </c>
      <c r="C368" t="s">
        <v>404</v>
      </c>
      <c r="D368" t="s">
        <v>327</v>
      </c>
      <c r="E368" t="s">
        <v>328</v>
      </c>
      <c r="F368" t="s">
        <v>329</v>
      </c>
      <c r="G368" t="s">
        <v>33</v>
      </c>
      <c r="H368" t="s">
        <v>16</v>
      </c>
      <c r="I368" s="5">
        <v>34868</v>
      </c>
      <c r="J368" s="5">
        <v>34868</v>
      </c>
      <c r="K368" s="5">
        <v>34868</v>
      </c>
    </row>
    <row r="369" spans="1:11" x14ac:dyDescent="0.25">
      <c r="A369">
        <v>2022</v>
      </c>
      <c r="B369">
        <v>7</v>
      </c>
      <c r="C369" t="s">
        <v>374</v>
      </c>
      <c r="D369" t="s">
        <v>327</v>
      </c>
      <c r="E369" t="s">
        <v>328</v>
      </c>
      <c r="F369" t="s">
        <v>375</v>
      </c>
      <c r="G369" t="s">
        <v>22</v>
      </c>
      <c r="H369" t="s">
        <v>16</v>
      </c>
      <c r="I369" s="5">
        <v>1011136.36</v>
      </c>
      <c r="J369" s="5">
        <v>660333.03</v>
      </c>
      <c r="K369" s="5">
        <v>842696.83</v>
      </c>
    </row>
    <row r="370" spans="1:11" x14ac:dyDescent="0.25">
      <c r="A370">
        <v>2022</v>
      </c>
      <c r="B370">
        <v>7</v>
      </c>
      <c r="C370" t="s">
        <v>376</v>
      </c>
      <c r="D370" t="s">
        <v>327</v>
      </c>
      <c r="E370" t="s">
        <v>328</v>
      </c>
      <c r="F370" t="s">
        <v>375</v>
      </c>
      <c r="G370" t="s">
        <v>22</v>
      </c>
      <c r="H370" t="s">
        <v>81</v>
      </c>
      <c r="I370" s="5">
        <v>1022877.33</v>
      </c>
      <c r="J370" s="5">
        <v>451733.96</v>
      </c>
      <c r="K370" s="5">
        <v>6939</v>
      </c>
    </row>
    <row r="371" spans="1:11" x14ac:dyDescent="0.25">
      <c r="A371">
        <v>2022</v>
      </c>
      <c r="B371">
        <v>7</v>
      </c>
      <c r="C371" t="s">
        <v>377</v>
      </c>
      <c r="D371" t="s">
        <v>327</v>
      </c>
      <c r="E371" t="s">
        <v>328</v>
      </c>
      <c r="F371" t="s">
        <v>375</v>
      </c>
      <c r="G371" t="s">
        <v>22</v>
      </c>
      <c r="H371" t="s">
        <v>81</v>
      </c>
      <c r="I371" s="5">
        <v>0</v>
      </c>
      <c r="J371" s="5">
        <v>0</v>
      </c>
      <c r="K371" s="5">
        <v>107351.5</v>
      </c>
    </row>
    <row r="372" spans="1:11" x14ac:dyDescent="0.25">
      <c r="A372">
        <v>2022</v>
      </c>
      <c r="B372">
        <v>7</v>
      </c>
      <c r="C372" t="s">
        <v>384</v>
      </c>
      <c r="D372" t="s">
        <v>327</v>
      </c>
      <c r="E372" t="s">
        <v>328</v>
      </c>
      <c r="F372" t="s">
        <v>375</v>
      </c>
      <c r="G372" t="s">
        <v>284</v>
      </c>
      <c r="H372" t="s">
        <v>16</v>
      </c>
      <c r="I372" s="5">
        <v>-64.599999999999994</v>
      </c>
      <c r="J372" s="5">
        <v>922.71</v>
      </c>
      <c r="K372" s="5">
        <v>2993.42</v>
      </c>
    </row>
    <row r="373" spans="1:11" x14ac:dyDescent="0.25">
      <c r="A373">
        <v>2022</v>
      </c>
      <c r="B373">
        <v>7</v>
      </c>
      <c r="C373" t="s">
        <v>364</v>
      </c>
      <c r="D373" t="s">
        <v>327</v>
      </c>
      <c r="E373" t="s">
        <v>328</v>
      </c>
      <c r="F373" t="s">
        <v>365</v>
      </c>
      <c r="G373" t="s">
        <v>214</v>
      </c>
      <c r="H373" t="s">
        <v>81</v>
      </c>
      <c r="I373" s="5">
        <v>601712.03</v>
      </c>
      <c r="J373" s="5">
        <v>601712.03</v>
      </c>
      <c r="K373" s="5">
        <v>601712.03</v>
      </c>
    </row>
    <row r="374" spans="1:11" x14ac:dyDescent="0.25">
      <c r="A374">
        <v>2022</v>
      </c>
      <c r="B374">
        <v>7</v>
      </c>
      <c r="C374" t="s">
        <v>379</v>
      </c>
      <c r="D374" t="s">
        <v>327</v>
      </c>
      <c r="E374" t="s">
        <v>328</v>
      </c>
      <c r="F374" t="s">
        <v>365</v>
      </c>
      <c r="G374" t="s">
        <v>22</v>
      </c>
      <c r="H374" t="s">
        <v>16</v>
      </c>
      <c r="I374" s="5">
        <v>0</v>
      </c>
      <c r="J374" s="5">
        <v>4700</v>
      </c>
      <c r="K374" s="5">
        <v>14100</v>
      </c>
    </row>
    <row r="375" spans="1:11" x14ac:dyDescent="0.25">
      <c r="A375">
        <v>2022</v>
      </c>
      <c r="B375">
        <v>7</v>
      </c>
      <c r="C375" t="s">
        <v>380</v>
      </c>
      <c r="D375" t="s">
        <v>327</v>
      </c>
      <c r="E375" t="s">
        <v>328</v>
      </c>
      <c r="F375" t="s">
        <v>365</v>
      </c>
      <c r="G375" t="s">
        <v>22</v>
      </c>
      <c r="H375" t="s">
        <v>81</v>
      </c>
      <c r="I375" s="5">
        <v>1210.5</v>
      </c>
      <c r="J375" s="5">
        <v>0</v>
      </c>
      <c r="K375" s="5">
        <v>0</v>
      </c>
    </row>
    <row r="376" spans="1:11" x14ac:dyDescent="0.25">
      <c r="A376">
        <v>2022</v>
      </c>
      <c r="B376">
        <v>7</v>
      </c>
      <c r="C376" t="s">
        <v>381</v>
      </c>
      <c r="D376" t="s">
        <v>327</v>
      </c>
      <c r="E376" t="s">
        <v>328</v>
      </c>
      <c r="F376" t="s">
        <v>365</v>
      </c>
      <c r="G376" t="s">
        <v>22</v>
      </c>
      <c r="H376" t="s">
        <v>81</v>
      </c>
      <c r="I376" s="5">
        <v>0</v>
      </c>
      <c r="J376" s="5">
        <v>0</v>
      </c>
      <c r="K376" s="5">
        <v>12196.24</v>
      </c>
    </row>
    <row r="377" spans="1:11" x14ac:dyDescent="0.25">
      <c r="A377">
        <v>2022</v>
      </c>
      <c r="B377">
        <v>7</v>
      </c>
      <c r="C377" t="s">
        <v>387</v>
      </c>
      <c r="D377" t="s">
        <v>327</v>
      </c>
      <c r="E377" t="s">
        <v>328</v>
      </c>
      <c r="F377" t="s">
        <v>365</v>
      </c>
      <c r="G377" t="s">
        <v>24</v>
      </c>
      <c r="H377" t="s">
        <v>81</v>
      </c>
      <c r="I377" s="5">
        <v>143387.26999999999</v>
      </c>
      <c r="J377" s="5">
        <v>24886.58</v>
      </c>
      <c r="K377" s="5">
        <v>20928.52</v>
      </c>
    </row>
    <row r="378" spans="1:11" x14ac:dyDescent="0.25">
      <c r="A378">
        <v>2022</v>
      </c>
      <c r="B378">
        <v>7</v>
      </c>
      <c r="C378" t="s">
        <v>399</v>
      </c>
      <c r="D378" t="s">
        <v>327</v>
      </c>
      <c r="E378" t="s">
        <v>328</v>
      </c>
      <c r="F378" t="s">
        <v>365</v>
      </c>
      <c r="G378" t="s">
        <v>26</v>
      </c>
      <c r="H378" t="s">
        <v>16</v>
      </c>
      <c r="I378" s="5">
        <v>15</v>
      </c>
      <c r="J378" s="5">
        <v>5273.33</v>
      </c>
      <c r="K378" s="5">
        <v>10053.33</v>
      </c>
    </row>
    <row r="379" spans="1:11" x14ac:dyDescent="0.25">
      <c r="A379">
        <v>2022</v>
      </c>
      <c r="B379">
        <v>7</v>
      </c>
      <c r="C379" t="s">
        <v>400</v>
      </c>
      <c r="D379" t="s">
        <v>327</v>
      </c>
      <c r="E379" t="s">
        <v>328</v>
      </c>
      <c r="F379" t="s">
        <v>365</v>
      </c>
      <c r="G379" t="s">
        <v>26</v>
      </c>
      <c r="H379" t="s">
        <v>81</v>
      </c>
      <c r="I379" s="5">
        <v>0</v>
      </c>
      <c r="J379" s="5">
        <v>3752</v>
      </c>
      <c r="K379" s="5">
        <v>0</v>
      </c>
    </row>
    <row r="380" spans="1:11" x14ac:dyDescent="0.25">
      <c r="A380">
        <v>2022</v>
      </c>
      <c r="B380">
        <v>7</v>
      </c>
      <c r="C380" t="s">
        <v>401</v>
      </c>
      <c r="D380" t="s">
        <v>327</v>
      </c>
      <c r="E380" t="s">
        <v>328</v>
      </c>
      <c r="F380" t="s">
        <v>365</v>
      </c>
      <c r="G380" t="s">
        <v>26</v>
      </c>
      <c r="H380" t="s">
        <v>81</v>
      </c>
      <c r="I380" s="5">
        <v>-145157.47</v>
      </c>
      <c r="J380" s="5">
        <v>33327.4</v>
      </c>
      <c r="K380" s="5">
        <v>37363.07</v>
      </c>
    </row>
    <row r="381" spans="1:11" x14ac:dyDescent="0.25">
      <c r="A381">
        <v>2022</v>
      </c>
      <c r="B381">
        <v>7</v>
      </c>
      <c r="C381" t="s">
        <v>402</v>
      </c>
      <c r="D381" t="s">
        <v>327</v>
      </c>
      <c r="E381" t="s">
        <v>328</v>
      </c>
      <c r="F381" t="s">
        <v>365</v>
      </c>
      <c r="G381" t="s">
        <v>26</v>
      </c>
      <c r="H381" t="s">
        <v>350</v>
      </c>
      <c r="I381" s="5">
        <v>10624.36</v>
      </c>
      <c r="J381" s="5">
        <v>990</v>
      </c>
      <c r="K381" s="5">
        <v>0</v>
      </c>
    </row>
    <row r="382" spans="1:11" x14ac:dyDescent="0.25">
      <c r="A382">
        <v>2022</v>
      </c>
      <c r="B382">
        <v>7</v>
      </c>
      <c r="C382" t="s">
        <v>378</v>
      </c>
      <c r="D382" t="s">
        <v>327</v>
      </c>
      <c r="E382" t="s">
        <v>328</v>
      </c>
      <c r="F382" t="s">
        <v>367</v>
      </c>
      <c r="G382" t="s">
        <v>22</v>
      </c>
      <c r="H382" t="s">
        <v>350</v>
      </c>
      <c r="I382" s="5">
        <v>3566.92</v>
      </c>
      <c r="J382" s="5">
        <v>744.3</v>
      </c>
      <c r="K382" s="5">
        <v>0</v>
      </c>
    </row>
    <row r="383" spans="1:11" x14ac:dyDescent="0.25">
      <c r="A383">
        <v>2022</v>
      </c>
      <c r="B383">
        <v>7</v>
      </c>
      <c r="C383" t="s">
        <v>386</v>
      </c>
      <c r="D383" t="s">
        <v>327</v>
      </c>
      <c r="E383" t="s">
        <v>328</v>
      </c>
      <c r="F383" t="s">
        <v>367</v>
      </c>
      <c r="G383" t="s">
        <v>24</v>
      </c>
      <c r="H383" t="s">
        <v>350</v>
      </c>
      <c r="I383" s="5">
        <v>123371.08</v>
      </c>
      <c r="J383" s="5">
        <v>15008.11</v>
      </c>
      <c r="K383" s="5">
        <v>15008.11</v>
      </c>
    </row>
    <row r="384" spans="1:11" x14ac:dyDescent="0.25">
      <c r="A384">
        <v>2022</v>
      </c>
      <c r="B384">
        <v>7</v>
      </c>
      <c r="C384" t="s">
        <v>397</v>
      </c>
      <c r="D384" t="s">
        <v>327</v>
      </c>
      <c r="E384" t="s">
        <v>328</v>
      </c>
      <c r="F384" t="s">
        <v>367</v>
      </c>
      <c r="G384" t="s">
        <v>26</v>
      </c>
      <c r="H384" t="s">
        <v>350</v>
      </c>
      <c r="I384" s="5">
        <v>0</v>
      </c>
      <c r="J384" s="5">
        <v>4990</v>
      </c>
      <c r="K384" s="5">
        <v>11940</v>
      </c>
    </row>
    <row r="385" spans="1:11" x14ac:dyDescent="0.25">
      <c r="A385">
        <v>2022</v>
      </c>
      <c r="B385">
        <v>7</v>
      </c>
      <c r="C385" t="s">
        <v>398</v>
      </c>
      <c r="D385" t="s">
        <v>327</v>
      </c>
      <c r="E385" t="s">
        <v>328</v>
      </c>
      <c r="F385" t="s">
        <v>367</v>
      </c>
      <c r="G385" t="s">
        <v>26</v>
      </c>
      <c r="H385" t="s">
        <v>87</v>
      </c>
      <c r="I385" s="5">
        <v>400</v>
      </c>
      <c r="J385" s="5">
        <v>2775.6</v>
      </c>
      <c r="K385" s="5">
        <v>3135.6</v>
      </c>
    </row>
    <row r="386" spans="1:11" x14ac:dyDescent="0.25">
      <c r="A386">
        <v>2022</v>
      </c>
      <c r="B386">
        <v>7</v>
      </c>
      <c r="C386" t="s">
        <v>406</v>
      </c>
      <c r="D386" t="s">
        <v>327</v>
      </c>
      <c r="E386" t="s">
        <v>328</v>
      </c>
      <c r="F386" t="s">
        <v>367</v>
      </c>
      <c r="G386" t="s">
        <v>35</v>
      </c>
      <c r="H386" t="s">
        <v>350</v>
      </c>
      <c r="I386" s="5">
        <v>0</v>
      </c>
      <c r="J386" s="5">
        <v>14250</v>
      </c>
      <c r="K386" s="5">
        <v>14250</v>
      </c>
    </row>
    <row r="387" spans="1:11" x14ac:dyDescent="0.25">
      <c r="A387">
        <v>2022</v>
      </c>
      <c r="B387">
        <v>7</v>
      </c>
      <c r="C387" t="s">
        <v>66</v>
      </c>
      <c r="D387" t="s">
        <v>63</v>
      </c>
      <c r="E387" t="s">
        <v>67</v>
      </c>
      <c r="F387" t="s">
        <v>68</v>
      </c>
      <c r="G387" t="s">
        <v>69</v>
      </c>
      <c r="H387" t="s">
        <v>70</v>
      </c>
      <c r="I387" s="5">
        <v>70386.38</v>
      </c>
      <c r="J387" s="5">
        <v>0</v>
      </c>
      <c r="K387" s="5">
        <v>0</v>
      </c>
    </row>
    <row r="388" spans="1:11" x14ac:dyDescent="0.25">
      <c r="A388">
        <v>2022</v>
      </c>
      <c r="B388">
        <v>7</v>
      </c>
      <c r="C388" t="s">
        <v>78</v>
      </c>
      <c r="D388" t="s">
        <v>63</v>
      </c>
      <c r="E388" t="s">
        <v>67</v>
      </c>
      <c r="F388" t="s">
        <v>68</v>
      </c>
      <c r="G388" t="s">
        <v>26</v>
      </c>
      <c r="H388" t="s">
        <v>45</v>
      </c>
      <c r="I388" s="5">
        <v>-985</v>
      </c>
      <c r="J388" s="5">
        <v>3906.39</v>
      </c>
      <c r="K388" s="5">
        <v>985</v>
      </c>
    </row>
    <row r="389" spans="1:11" x14ac:dyDescent="0.25">
      <c r="A389">
        <v>2022</v>
      </c>
      <c r="B389">
        <v>7</v>
      </c>
      <c r="C389" t="s">
        <v>79</v>
      </c>
      <c r="D389" t="s">
        <v>63</v>
      </c>
      <c r="E389" t="s">
        <v>67</v>
      </c>
      <c r="F389" t="s">
        <v>68</v>
      </c>
      <c r="G389" t="s">
        <v>26</v>
      </c>
      <c r="H389" t="s">
        <v>45</v>
      </c>
      <c r="I389" s="5">
        <v>0</v>
      </c>
      <c r="J389" s="5">
        <v>8000</v>
      </c>
      <c r="K389" s="5">
        <v>16000</v>
      </c>
    </row>
    <row r="390" spans="1:11" x14ac:dyDescent="0.25">
      <c r="A390">
        <v>2022</v>
      </c>
      <c r="B390">
        <v>7</v>
      </c>
      <c r="C390" t="s">
        <v>80</v>
      </c>
      <c r="D390" t="s">
        <v>63</v>
      </c>
      <c r="E390" t="s">
        <v>67</v>
      </c>
      <c r="F390" t="s">
        <v>68</v>
      </c>
      <c r="G390" t="s">
        <v>26</v>
      </c>
      <c r="H390" t="s">
        <v>81</v>
      </c>
      <c r="I390" s="5">
        <v>0</v>
      </c>
      <c r="J390" s="5">
        <v>0</v>
      </c>
      <c r="K390" s="5">
        <v>45146.879999999997</v>
      </c>
    </row>
    <row r="391" spans="1:11" x14ac:dyDescent="0.25">
      <c r="A391">
        <v>2022</v>
      </c>
      <c r="B391">
        <v>7</v>
      </c>
      <c r="C391" t="s">
        <v>82</v>
      </c>
      <c r="D391" t="s">
        <v>63</v>
      </c>
      <c r="E391" t="s">
        <v>67</v>
      </c>
      <c r="F391" t="s">
        <v>68</v>
      </c>
      <c r="G391" t="s">
        <v>26</v>
      </c>
      <c r="H391" t="s">
        <v>70</v>
      </c>
      <c r="I391" s="5">
        <v>-25914.94</v>
      </c>
      <c r="J391" s="5">
        <v>92657.19</v>
      </c>
      <c r="K391" s="5">
        <v>92657.19</v>
      </c>
    </row>
    <row r="392" spans="1:11" x14ac:dyDescent="0.25">
      <c r="A392">
        <v>2022</v>
      </c>
      <c r="B392">
        <v>7</v>
      </c>
      <c r="C392" t="s">
        <v>83</v>
      </c>
      <c r="D392" t="s">
        <v>63</v>
      </c>
      <c r="E392" t="s">
        <v>67</v>
      </c>
      <c r="F392" t="s">
        <v>68</v>
      </c>
      <c r="G392" t="s">
        <v>26</v>
      </c>
      <c r="H392" t="s">
        <v>70</v>
      </c>
      <c r="I392" s="5">
        <v>0</v>
      </c>
      <c r="J392" s="5">
        <v>84833.33</v>
      </c>
      <c r="K392" s="5">
        <v>0</v>
      </c>
    </row>
    <row r="393" spans="1:11" x14ac:dyDescent="0.25">
      <c r="A393">
        <v>2022</v>
      </c>
      <c r="B393">
        <v>7</v>
      </c>
      <c r="C393" t="s">
        <v>84</v>
      </c>
      <c r="D393" t="s">
        <v>63</v>
      </c>
      <c r="E393" t="s">
        <v>67</v>
      </c>
      <c r="F393" t="s">
        <v>68</v>
      </c>
      <c r="G393" t="s">
        <v>26</v>
      </c>
      <c r="H393" t="s">
        <v>85</v>
      </c>
      <c r="I393" s="5">
        <v>0</v>
      </c>
      <c r="J393" s="5">
        <v>0</v>
      </c>
      <c r="K393" s="5">
        <v>198688.07</v>
      </c>
    </row>
    <row r="394" spans="1:11" x14ac:dyDescent="0.25">
      <c r="A394">
        <v>2022</v>
      </c>
      <c r="B394">
        <v>7</v>
      </c>
      <c r="C394" t="s">
        <v>86</v>
      </c>
      <c r="D394" t="s">
        <v>63</v>
      </c>
      <c r="E394" t="s">
        <v>67</v>
      </c>
      <c r="F394" t="s">
        <v>68</v>
      </c>
      <c r="G394" t="s">
        <v>26</v>
      </c>
      <c r="H394" t="s">
        <v>87</v>
      </c>
      <c r="I394" s="5">
        <v>0</v>
      </c>
      <c r="J394" s="5">
        <v>6700</v>
      </c>
      <c r="K394" s="5">
        <v>6700</v>
      </c>
    </row>
    <row r="395" spans="1:11" x14ac:dyDescent="0.25">
      <c r="A395">
        <v>2022</v>
      </c>
      <c r="B395">
        <v>7</v>
      </c>
      <c r="C395" t="s">
        <v>88</v>
      </c>
      <c r="D395" t="s">
        <v>63</v>
      </c>
      <c r="E395" t="s">
        <v>67</v>
      </c>
      <c r="F395" t="s">
        <v>68</v>
      </c>
      <c r="G395" t="s">
        <v>52</v>
      </c>
      <c r="H395" t="s">
        <v>85</v>
      </c>
      <c r="I395" s="5">
        <v>0</v>
      </c>
      <c r="J395" s="5">
        <v>0</v>
      </c>
      <c r="K395" s="5">
        <v>4655.34</v>
      </c>
    </row>
    <row r="396" spans="1:11" x14ac:dyDescent="0.25">
      <c r="A396">
        <v>2022</v>
      </c>
      <c r="B396">
        <v>7</v>
      </c>
      <c r="C396" t="s">
        <v>90</v>
      </c>
      <c r="D396" t="s">
        <v>63</v>
      </c>
      <c r="E396" t="s">
        <v>67</v>
      </c>
      <c r="F396" t="s">
        <v>68</v>
      </c>
      <c r="G396" t="s">
        <v>35</v>
      </c>
      <c r="H396" t="s">
        <v>45</v>
      </c>
      <c r="I396" s="5">
        <v>0</v>
      </c>
      <c r="J396" s="5">
        <v>0</v>
      </c>
      <c r="K396" s="5">
        <v>3979.8</v>
      </c>
    </row>
    <row r="397" spans="1:11" x14ac:dyDescent="0.25">
      <c r="A397">
        <v>2022</v>
      </c>
      <c r="B397">
        <v>7</v>
      </c>
      <c r="C397" t="s">
        <v>62</v>
      </c>
      <c r="D397" t="s">
        <v>63</v>
      </c>
      <c r="E397" t="s">
        <v>64</v>
      </c>
      <c r="F397" t="s">
        <v>65</v>
      </c>
      <c r="G397" t="s">
        <v>15</v>
      </c>
      <c r="H397" t="s">
        <v>16</v>
      </c>
      <c r="I397" s="5">
        <v>487877.06</v>
      </c>
      <c r="J397" s="5">
        <v>487877.06</v>
      </c>
      <c r="K397" s="5">
        <v>487877.06</v>
      </c>
    </row>
    <row r="398" spans="1:11" x14ac:dyDescent="0.25">
      <c r="A398">
        <v>2022</v>
      </c>
      <c r="B398">
        <v>7</v>
      </c>
      <c r="C398" t="s">
        <v>71</v>
      </c>
      <c r="D398" t="s">
        <v>63</v>
      </c>
      <c r="E398" t="s">
        <v>64</v>
      </c>
      <c r="F398" t="s">
        <v>65</v>
      </c>
      <c r="G398" t="s">
        <v>72</v>
      </c>
      <c r="H398" t="s">
        <v>16</v>
      </c>
      <c r="I398" s="5">
        <v>0</v>
      </c>
      <c r="J398" s="5">
        <v>0</v>
      </c>
      <c r="K398" s="5">
        <v>272203</v>
      </c>
    </row>
    <row r="399" spans="1:11" x14ac:dyDescent="0.25">
      <c r="A399">
        <v>2022</v>
      </c>
      <c r="B399">
        <v>7</v>
      </c>
      <c r="C399" t="s">
        <v>73</v>
      </c>
      <c r="D399" t="s">
        <v>63</v>
      </c>
      <c r="E399" t="s">
        <v>64</v>
      </c>
      <c r="F399" t="s">
        <v>65</v>
      </c>
      <c r="G399" t="s">
        <v>22</v>
      </c>
      <c r="H399" t="s">
        <v>16</v>
      </c>
      <c r="I399" s="5">
        <v>7162.25</v>
      </c>
      <c r="J399" s="5">
        <v>11230.54</v>
      </c>
      <c r="K399" s="5">
        <v>2145.98</v>
      </c>
    </row>
    <row r="400" spans="1:11" x14ac:dyDescent="0.25">
      <c r="A400">
        <v>2022</v>
      </c>
      <c r="B400">
        <v>7</v>
      </c>
      <c r="C400" t="s">
        <v>74</v>
      </c>
      <c r="D400" t="s">
        <v>63</v>
      </c>
      <c r="E400" t="s">
        <v>64</v>
      </c>
      <c r="F400" t="s">
        <v>65</v>
      </c>
      <c r="G400" t="s">
        <v>24</v>
      </c>
      <c r="H400" t="s">
        <v>16</v>
      </c>
      <c r="I400" s="5">
        <v>-943.55</v>
      </c>
      <c r="J400" s="5">
        <v>29003.919999999998</v>
      </c>
      <c r="K400" s="5">
        <v>29003.919999999998</v>
      </c>
    </row>
    <row r="401" spans="1:11" x14ac:dyDescent="0.25">
      <c r="A401">
        <v>2022</v>
      </c>
      <c r="B401">
        <v>7</v>
      </c>
      <c r="C401" t="s">
        <v>75</v>
      </c>
      <c r="D401" t="s">
        <v>63</v>
      </c>
      <c r="E401" t="s">
        <v>64</v>
      </c>
      <c r="F401" t="s">
        <v>65</v>
      </c>
      <c r="G401" t="s">
        <v>26</v>
      </c>
      <c r="H401" t="s">
        <v>16</v>
      </c>
      <c r="I401" s="5">
        <v>48431.91</v>
      </c>
      <c r="J401" s="5">
        <v>74002.87</v>
      </c>
      <c r="K401" s="5">
        <v>63959.83</v>
      </c>
    </row>
    <row r="402" spans="1:11" x14ac:dyDescent="0.25">
      <c r="A402">
        <v>2022</v>
      </c>
      <c r="B402">
        <v>7</v>
      </c>
      <c r="C402" t="s">
        <v>76</v>
      </c>
      <c r="D402" t="s">
        <v>63</v>
      </c>
      <c r="E402" t="s">
        <v>64</v>
      </c>
      <c r="F402" t="s">
        <v>65</v>
      </c>
      <c r="G402" t="s">
        <v>26</v>
      </c>
      <c r="H402" t="s">
        <v>16</v>
      </c>
      <c r="I402" s="5">
        <v>0</v>
      </c>
      <c r="J402" s="5">
        <v>803672.03</v>
      </c>
      <c r="K402" s="5">
        <v>652982.06999999995</v>
      </c>
    </row>
    <row r="403" spans="1:11" x14ac:dyDescent="0.25">
      <c r="A403">
        <v>2022</v>
      </c>
      <c r="B403">
        <v>7</v>
      </c>
      <c r="C403" t="s">
        <v>77</v>
      </c>
      <c r="D403" t="s">
        <v>63</v>
      </c>
      <c r="E403" t="s">
        <v>64</v>
      </c>
      <c r="F403" t="s">
        <v>65</v>
      </c>
      <c r="G403" t="s">
        <v>26</v>
      </c>
      <c r="H403" t="s">
        <v>45</v>
      </c>
      <c r="I403" s="5">
        <v>0</v>
      </c>
      <c r="J403" s="5">
        <v>29647.06</v>
      </c>
      <c r="K403" s="5">
        <v>0</v>
      </c>
    </row>
    <row r="404" spans="1:11" x14ac:dyDescent="0.25">
      <c r="A404">
        <v>2022</v>
      </c>
      <c r="B404">
        <v>7</v>
      </c>
      <c r="C404" t="s">
        <v>89</v>
      </c>
      <c r="D404" t="s">
        <v>63</v>
      </c>
      <c r="E404" t="s">
        <v>64</v>
      </c>
      <c r="F404" t="s">
        <v>65</v>
      </c>
      <c r="G404" t="s">
        <v>35</v>
      </c>
      <c r="H404" t="s">
        <v>16</v>
      </c>
      <c r="I404" s="5">
        <v>5646</v>
      </c>
      <c r="J404" s="5">
        <v>0</v>
      </c>
      <c r="K404" s="5">
        <v>1618</v>
      </c>
    </row>
  </sheetData>
  <sortState ref="A2:K407">
    <sortCondition ref="D1"/>
  </sortState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3:D9"/>
  <sheetViews>
    <sheetView tabSelected="1" workbookViewId="0">
      <selection activeCell="D20" sqref="D20"/>
    </sheetView>
  </sheetViews>
  <sheetFormatPr defaultRowHeight="15" x14ac:dyDescent="0.25"/>
  <cols>
    <col min="3" max="3" width="52.85546875" customWidth="1"/>
    <col min="4" max="4" width="74.85546875" customWidth="1"/>
  </cols>
  <sheetData>
    <row r="3" spans="2:4" x14ac:dyDescent="0.25">
      <c r="B3">
        <v>153</v>
      </c>
    </row>
    <row r="7" spans="2:4" x14ac:dyDescent="0.25">
      <c r="C7" s="7" t="s">
        <v>521</v>
      </c>
      <c r="D7" s="8">
        <f>IF($B$3&gt;2,INDEX(despesa_funcao!D:K,Planilha1!$B$3,8),"*")</f>
        <v>22070.71</v>
      </c>
    </row>
    <row r="8" spans="2:4" x14ac:dyDescent="0.25">
      <c r="C8" s="7" t="s">
        <v>522</v>
      </c>
      <c r="D8" s="8" t="str">
        <f>IF($B$3&gt;2,INDEX(despesa_funcao!D:K,Planilha1!$B$3,4),"*")</f>
        <v>OUTROS SERVIÇOS DE TERCEIROS - PESSOA FÍSICA</v>
      </c>
    </row>
    <row r="9" spans="2:4" x14ac:dyDescent="0.25">
      <c r="C9" s="7" t="s">
        <v>523</v>
      </c>
      <c r="D9" s="8" t="str">
        <f>IF($B$3&gt;2,INDEX(despesa_funcao!D:K,Planilha1!$B$3,2),"*")</f>
        <v>EDUCAÇÃO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Drop Down 2">
              <controlPr defaultSize="0" autoLine="0" autoPict="0">
                <anchor moveWithCells="1">
                  <from>
                    <xdr:col>1</xdr:col>
                    <xdr:colOff>600075</xdr:colOff>
                    <xdr:row>2</xdr:row>
                    <xdr:rowOff>9525</xdr:rowOff>
                  </from>
                  <to>
                    <xdr:col>2</xdr:col>
                    <xdr:colOff>3505200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Zerar" altText="APAGAR">
                <anchor moveWithCells="1" sizeWithCells="1">
                  <from>
                    <xdr:col>2</xdr:col>
                    <xdr:colOff>3171825</xdr:colOff>
                    <xdr:row>11</xdr:row>
                    <xdr:rowOff>9525</xdr:rowOff>
                  </from>
                  <to>
                    <xdr:col>3</xdr:col>
                    <xdr:colOff>3057525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Planilha3</vt:lpstr>
      <vt:lpstr>despesa_funcao</vt:lpstr>
      <vt:lpstr>Planilha1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</dc:creator>
  <cp:lastModifiedBy>ANA</cp:lastModifiedBy>
  <dcterms:created xsi:type="dcterms:W3CDTF">2023-09-05T19:03:36Z</dcterms:created>
  <dcterms:modified xsi:type="dcterms:W3CDTF">2023-09-05T20:42:18Z</dcterms:modified>
</cp:coreProperties>
</file>